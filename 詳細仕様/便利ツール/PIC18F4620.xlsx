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360" yWindow="15" windowWidth="10635" windowHeight="630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C8" i="1" l="1"/>
  <c r="J12" i="1"/>
  <c r="J11" i="1"/>
  <c r="J10" i="1"/>
  <c r="J9" i="1"/>
  <c r="J8" i="1"/>
  <c r="J7" i="1"/>
  <c r="J6" i="1"/>
  <c r="J5" i="1"/>
  <c r="C6" i="1"/>
  <c r="J4" i="1"/>
  <c r="J3" i="1"/>
  <c r="I12" i="1"/>
  <c r="I11" i="1"/>
  <c r="I10" i="1"/>
  <c r="I9" i="1"/>
  <c r="I8" i="1"/>
  <c r="I7" i="1"/>
  <c r="I6" i="1"/>
  <c r="I5" i="1"/>
  <c r="I4" i="1"/>
  <c r="I3" i="1"/>
  <c r="H12" i="1"/>
  <c r="H11" i="1"/>
  <c r="H10" i="1"/>
  <c r="H9" i="1"/>
  <c r="H8" i="1"/>
  <c r="H7" i="1"/>
  <c r="H6" i="1"/>
  <c r="H5" i="1"/>
  <c r="H4" i="1"/>
  <c r="AN14" i="1"/>
  <c r="AB38" i="1" s="1"/>
  <c r="AO14" i="1"/>
  <c r="AB37" i="1" s="1"/>
  <c r="AQ13" i="1"/>
  <c r="AB28" i="1" s="1"/>
  <c r="AP13" i="1"/>
  <c r="AB31" i="1" s="1"/>
  <c r="AC17" i="1"/>
  <c r="AB24" i="1" s="1"/>
  <c r="AR13" i="1"/>
  <c r="AB34" i="1" s="1"/>
  <c r="X40" i="1"/>
  <c r="X39" i="1"/>
  <c r="X38" i="1"/>
  <c r="X37" i="1"/>
  <c r="X36" i="1"/>
  <c r="X35" i="1"/>
  <c r="X34" i="1"/>
  <c r="X33" i="1"/>
  <c r="AD14" i="1"/>
  <c r="AB29" i="1"/>
  <c r="AJ29" i="1" s="1"/>
  <c r="X32" i="1" s="1"/>
  <c r="AC19" i="1"/>
  <c r="AB27" i="1" s="1"/>
  <c r="AE19" i="1"/>
  <c r="AB25" i="1" s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9" i="1"/>
  <c r="AB11" i="1"/>
  <c r="AB10" i="1"/>
  <c r="AK18" i="1"/>
  <c r="AB22" i="1" s="1"/>
  <c r="AK17" i="1"/>
  <c r="AB21" i="1" s="1"/>
  <c r="AE14" i="1"/>
  <c r="AB35" i="1"/>
  <c r="AH35" i="1" s="1"/>
  <c r="AJ35" i="1"/>
  <c r="AF35" i="1"/>
  <c r="AC35" i="1"/>
  <c r="AC14" i="1"/>
  <c r="AB32" i="1"/>
  <c r="AH32" i="1" s="1"/>
  <c r="AF32" i="1"/>
  <c r="AC32" i="1"/>
  <c r="AD19" i="1"/>
  <c r="AB26" i="1"/>
  <c r="AH26" i="1" s="1"/>
  <c r="AC26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R18" i="1"/>
  <c r="AQ18" i="1"/>
  <c r="AP18" i="1"/>
  <c r="AO18" i="1"/>
  <c r="AN18" i="1"/>
  <c r="AM18" i="1"/>
  <c r="AL18" i="1"/>
  <c r="AJ18" i="1"/>
  <c r="AI18" i="1"/>
  <c r="AH18" i="1"/>
  <c r="AG18" i="1"/>
  <c r="AF18" i="1"/>
  <c r="AE18" i="1"/>
  <c r="AD18" i="1"/>
  <c r="AC18" i="1"/>
  <c r="AR17" i="1"/>
  <c r="AQ17" i="1"/>
  <c r="AP17" i="1"/>
  <c r="AO17" i="1"/>
  <c r="AN17" i="1"/>
  <c r="AM17" i="1"/>
  <c r="AL17" i="1"/>
  <c r="AJ17" i="1"/>
  <c r="AI17" i="1"/>
  <c r="AH17" i="1"/>
  <c r="AG17" i="1"/>
  <c r="AF17" i="1"/>
  <c r="AE17" i="1"/>
  <c r="AD17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R14" i="1"/>
  <c r="AQ14" i="1"/>
  <c r="AP14" i="1"/>
  <c r="AM14" i="1"/>
  <c r="AL14" i="1"/>
  <c r="AK14" i="1"/>
  <c r="AJ14" i="1"/>
  <c r="AI14" i="1"/>
  <c r="AH14" i="1"/>
  <c r="AG14" i="1"/>
  <c r="AF14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N12" i="1"/>
  <c r="AR12" i="1"/>
  <c r="AQ12" i="1"/>
  <c r="AP12" i="1"/>
  <c r="AO12" i="1"/>
  <c r="AM12" i="1"/>
  <c r="AL12" i="1"/>
  <c r="AJ12" i="1"/>
  <c r="AI12" i="1"/>
  <c r="AH12" i="1"/>
  <c r="AG12" i="1"/>
  <c r="AF12" i="1"/>
  <c r="AE12" i="1"/>
  <c r="AD12" i="1"/>
  <c r="AK12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D9" i="1"/>
  <c r="AE9" i="1"/>
  <c r="AC9" i="1"/>
  <c r="AB19" i="1"/>
  <c r="AB18" i="1"/>
  <c r="AB17" i="1"/>
  <c r="AB16" i="1"/>
  <c r="AB15" i="1"/>
  <c r="AB14" i="1"/>
  <c r="AB13" i="1"/>
  <c r="AB12" i="1"/>
  <c r="AC12" i="1"/>
  <c r="C9" i="1"/>
  <c r="C49" i="1" s="1"/>
  <c r="B17" i="1"/>
  <c r="C54" i="1"/>
  <c r="I54" i="1" s="1"/>
  <c r="K54" i="1"/>
  <c r="N54" i="1" s="1"/>
  <c r="C51" i="1"/>
  <c r="F51" i="1"/>
  <c r="C48" i="1"/>
  <c r="F48" i="1" s="1"/>
  <c r="C47" i="1"/>
  <c r="E47" i="1" s="1"/>
  <c r="C43" i="1"/>
  <c r="F43" i="1"/>
  <c r="C40" i="1"/>
  <c r="F40" i="1" s="1"/>
  <c r="I40" i="1" s="1"/>
  <c r="Q40" i="1" s="1"/>
  <c r="C39" i="1"/>
  <c r="G39" i="1" s="1"/>
  <c r="K39" i="1"/>
  <c r="M39" i="1" s="1"/>
  <c r="N39" i="1"/>
  <c r="B16" i="1"/>
  <c r="R54" i="1"/>
  <c r="R39" i="1"/>
  <c r="C102" i="1"/>
  <c r="C101" i="1"/>
  <c r="K101" i="1"/>
  <c r="M101" i="1" s="1"/>
  <c r="C100" i="1"/>
  <c r="C99" i="1"/>
  <c r="K99" i="1"/>
  <c r="C98" i="1"/>
  <c r="C97" i="1"/>
  <c r="K97" i="1"/>
  <c r="C96" i="1"/>
  <c r="C95" i="1"/>
  <c r="K95" i="1"/>
  <c r="L29" i="1"/>
  <c r="J84" i="1" s="1"/>
  <c r="Q84" i="1" s="1"/>
  <c r="C29" i="1"/>
  <c r="E29" i="1"/>
  <c r="F29" i="1"/>
  <c r="M74" i="1"/>
  <c r="M83" i="1" s="1"/>
  <c r="J92" i="1"/>
  <c r="C24" i="1"/>
  <c r="K24" i="1"/>
  <c r="L24" i="1" s="1"/>
  <c r="M24" i="1" s="1"/>
  <c r="C83" i="1" s="1"/>
  <c r="F84" i="1" s="1"/>
  <c r="F83" i="1"/>
  <c r="Q91" i="1"/>
  <c r="S88" i="1" s="1"/>
  <c r="J91" i="1"/>
  <c r="J90" i="1"/>
  <c r="J89" i="1"/>
  <c r="J88" i="1"/>
  <c r="Q87" i="1"/>
  <c r="J87" i="1"/>
  <c r="J86" i="1"/>
  <c r="J85" i="1"/>
  <c r="C74" i="1"/>
  <c r="G76" i="1" s="1"/>
  <c r="C72" i="1"/>
  <c r="I72" i="1" s="1"/>
  <c r="K72" i="1"/>
  <c r="C71" i="1"/>
  <c r="E71" i="1"/>
  <c r="G71" i="1" s="1"/>
  <c r="P71" i="1" s="1"/>
  <c r="R71" i="1" s="1"/>
  <c r="K71" i="1" s="1"/>
  <c r="F71" i="1"/>
  <c r="I71" i="1" s="1"/>
  <c r="Q71" i="1" s="1"/>
  <c r="C70" i="1"/>
  <c r="C69" i="1"/>
  <c r="E69" i="1"/>
  <c r="G69" i="1" s="1"/>
  <c r="P69" i="1" s="1"/>
  <c r="F69" i="1"/>
  <c r="I69" i="1" s="1"/>
  <c r="Q69" i="1" s="1"/>
  <c r="C68" i="1"/>
  <c r="C67" i="1"/>
  <c r="E67" i="1"/>
  <c r="G67" i="1" s="1"/>
  <c r="P67" i="1" s="1"/>
  <c r="F67" i="1"/>
  <c r="I67" i="1" s="1"/>
  <c r="Q67" i="1" s="1"/>
  <c r="C66" i="1"/>
  <c r="C65" i="1"/>
  <c r="E65" i="1"/>
  <c r="G65" i="1" s="1"/>
  <c r="P65" i="1" s="1"/>
  <c r="F65" i="1"/>
  <c r="I65" i="1" s="1"/>
  <c r="Q65" i="1" s="1"/>
  <c r="C64" i="1"/>
  <c r="F64" i="1" s="1"/>
  <c r="E64" i="1"/>
  <c r="G64" i="1"/>
  <c r="P64" i="1" s="1"/>
  <c r="C63" i="1"/>
  <c r="E63" i="1" s="1"/>
  <c r="F63" i="1"/>
  <c r="C61" i="1"/>
  <c r="E61" i="1"/>
  <c r="G61" i="1" s="1"/>
  <c r="P61" i="1" s="1"/>
  <c r="F61" i="1"/>
  <c r="I61" i="1" s="1"/>
  <c r="Q61" i="1" s="1"/>
  <c r="C60" i="1"/>
  <c r="E60" i="1"/>
  <c r="G60" i="1" s="1"/>
  <c r="P60" i="1"/>
  <c r="R60" i="1" s="1"/>
  <c r="F60" i="1"/>
  <c r="I60" i="1" s="1"/>
  <c r="Q60" i="1" s="1"/>
  <c r="C59" i="1"/>
  <c r="E59" i="1" s="1"/>
  <c r="F59" i="1"/>
  <c r="C58" i="1"/>
  <c r="E58" i="1"/>
  <c r="C57" i="1"/>
  <c r="K57" i="1"/>
  <c r="N57" i="1"/>
  <c r="M57" i="1"/>
  <c r="G57" i="1"/>
  <c r="C36" i="1"/>
  <c r="C35" i="1"/>
  <c r="G35" i="1"/>
  <c r="K35" i="1"/>
  <c r="L35" i="1" s="1"/>
  <c r="C34" i="1"/>
  <c r="K34" i="1"/>
  <c r="M34" i="1" s="1"/>
  <c r="O34" i="1" s="1"/>
  <c r="C33" i="1"/>
  <c r="K33" i="1"/>
  <c r="M33" i="1" s="1"/>
  <c r="C32" i="1"/>
  <c r="K32" i="1"/>
  <c r="L32" i="1" s="1"/>
  <c r="C31" i="1"/>
  <c r="K31" i="1"/>
  <c r="L31" i="1" s="1"/>
  <c r="C21" i="1"/>
  <c r="C28" i="1"/>
  <c r="K28" i="1"/>
  <c r="L28" i="1" s="1"/>
  <c r="M28" i="1" s="1"/>
  <c r="O28" i="1" s="1"/>
  <c r="C27" i="1"/>
  <c r="K27" i="1"/>
  <c r="L27" i="1" s="1"/>
  <c r="C26" i="1"/>
  <c r="G26" i="1"/>
  <c r="K26" i="1"/>
  <c r="M26" i="1"/>
  <c r="C25" i="1"/>
  <c r="K25" i="1"/>
  <c r="L25" i="1"/>
  <c r="E25" i="1"/>
  <c r="F25" i="1"/>
  <c r="C23" i="1"/>
  <c r="K23" i="1"/>
  <c r="L23" i="1" s="1"/>
  <c r="C22" i="1"/>
  <c r="K22" i="1" s="1"/>
  <c r="L22" i="1" s="1"/>
  <c r="L26" i="1"/>
  <c r="C20" i="1"/>
  <c r="G25" i="1"/>
  <c r="I25" i="1" s="1"/>
  <c r="S87" i="1"/>
  <c r="O101" i="1"/>
  <c r="I102" i="1"/>
  <c r="I101" i="1"/>
  <c r="I100" i="1"/>
  <c r="I99" i="1"/>
  <c r="I98" i="1"/>
  <c r="I97" i="1"/>
  <c r="I96" i="1"/>
  <c r="I95" i="1"/>
  <c r="C84" i="1"/>
  <c r="B72" i="1"/>
  <c r="Q72" i="1" s="1"/>
  <c r="B57" i="1"/>
  <c r="P57" i="1" s="1"/>
  <c r="J75" i="1"/>
  <c r="C75" i="1"/>
  <c r="R72" i="1"/>
  <c r="R57" i="1"/>
  <c r="I36" i="1"/>
  <c r="I35" i="1"/>
  <c r="I34" i="1"/>
  <c r="O33" i="1"/>
  <c r="I33" i="1"/>
  <c r="I32" i="1"/>
  <c r="I31" i="1"/>
  <c r="G29" i="1"/>
  <c r="I29" i="1"/>
  <c r="I28" i="1"/>
  <c r="I21" i="1"/>
  <c r="I20" i="1"/>
  <c r="I27" i="1"/>
  <c r="I26" i="1"/>
  <c r="I24" i="1"/>
  <c r="O26" i="1"/>
  <c r="I23" i="1"/>
  <c r="I22" i="1"/>
  <c r="O24" i="1"/>
  <c r="C105" i="1"/>
  <c r="C106" i="1" s="1"/>
  <c r="E106" i="1"/>
  <c r="E107" i="1"/>
  <c r="E108" i="1" s="1"/>
  <c r="E109" i="1" s="1"/>
  <c r="E110" i="1" s="1"/>
  <c r="E111" i="1" s="1"/>
  <c r="F106" i="1"/>
  <c r="F107" i="1"/>
  <c r="F108" i="1"/>
  <c r="F109" i="1"/>
  <c r="F110" i="1" s="1"/>
  <c r="F111" i="1" s="1"/>
  <c r="M106" i="1"/>
  <c r="M107" i="1"/>
  <c r="C5" i="1"/>
  <c r="R61" i="1" l="1"/>
  <c r="K60" i="1"/>
  <c r="L60" i="1"/>
  <c r="I106" i="1"/>
  <c r="C107" i="1"/>
  <c r="E91" i="1"/>
  <c r="F91" i="1" s="1"/>
  <c r="H91" i="1" s="1"/>
  <c r="E87" i="1"/>
  <c r="E92" i="1"/>
  <c r="F92" i="1" s="1"/>
  <c r="H92" i="1" s="1"/>
  <c r="E88" i="1"/>
  <c r="F88" i="1" s="1"/>
  <c r="H88" i="1" s="1"/>
  <c r="F85" i="1"/>
  <c r="H85" i="1" s="1"/>
  <c r="E90" i="1"/>
  <c r="F90" i="1" s="1"/>
  <c r="H90" i="1" s="1"/>
  <c r="E86" i="1"/>
  <c r="F86" i="1" s="1"/>
  <c r="H86" i="1" s="1"/>
  <c r="F87" i="1"/>
  <c r="H87" i="1" s="1"/>
  <c r="E89" i="1"/>
  <c r="F89" i="1" s="1"/>
  <c r="H89" i="1" s="1"/>
  <c r="E85" i="1"/>
  <c r="M97" i="1"/>
  <c r="O97" i="1" s="1"/>
  <c r="L97" i="1"/>
  <c r="O57" i="1"/>
  <c r="I105" i="1"/>
  <c r="K105" i="1" s="1"/>
  <c r="M108" i="1"/>
  <c r="K20" i="1"/>
  <c r="L20" i="1" s="1"/>
  <c r="L34" i="1"/>
  <c r="M25" i="1"/>
  <c r="O25" i="1" s="1"/>
  <c r="M27" i="1"/>
  <c r="O27" i="1" s="1"/>
  <c r="K21" i="1"/>
  <c r="L21" i="1" s="1"/>
  <c r="F66" i="1"/>
  <c r="G66" i="1"/>
  <c r="P66" i="1" s="1"/>
  <c r="R66" i="1" s="1"/>
  <c r="G80" i="1"/>
  <c r="E78" i="1"/>
  <c r="F80" i="1"/>
  <c r="E79" i="1"/>
  <c r="E76" i="1"/>
  <c r="H80" i="1"/>
  <c r="G78" i="1"/>
  <c r="K96" i="1"/>
  <c r="L96" i="1" s="1"/>
  <c r="P39" i="1"/>
  <c r="B39" i="1"/>
  <c r="AF27" i="1"/>
  <c r="AE27" i="1"/>
  <c r="AC27" i="1"/>
  <c r="AD27" i="1"/>
  <c r="AJ27" i="1"/>
  <c r="X16" i="1" s="1"/>
  <c r="AH27" i="1"/>
  <c r="AI27" i="1"/>
  <c r="AG27" i="1"/>
  <c r="AC38" i="1"/>
  <c r="AJ38" i="1"/>
  <c r="AI38" i="1"/>
  <c r="AH38" i="1"/>
  <c r="AG38" i="1"/>
  <c r="AF38" i="1"/>
  <c r="AE38" i="1"/>
  <c r="AD38" i="1"/>
  <c r="B54" i="1"/>
  <c r="Q54" i="1" s="1"/>
  <c r="M22" i="1"/>
  <c r="O22" i="1" s="1"/>
  <c r="R65" i="1"/>
  <c r="R69" i="1"/>
  <c r="AE21" i="1"/>
  <c r="AD21" i="1"/>
  <c r="AC21" i="1"/>
  <c r="AI21" i="1"/>
  <c r="AJ21" i="1"/>
  <c r="AH21" i="1"/>
  <c r="AG21" i="1"/>
  <c r="AF21" i="1"/>
  <c r="M31" i="1"/>
  <c r="O31" i="1" s="1"/>
  <c r="M35" i="1"/>
  <c r="O35" i="1" s="1"/>
  <c r="R67" i="1"/>
  <c r="M72" i="1"/>
  <c r="K98" i="1"/>
  <c r="L98" i="1" s="1"/>
  <c r="M98" i="1"/>
  <c r="O98" i="1" s="1"/>
  <c r="E49" i="1"/>
  <c r="G49" i="1"/>
  <c r="P49" i="1" s="1"/>
  <c r="F49" i="1"/>
  <c r="I49" i="1"/>
  <c r="Q49" i="1" s="1"/>
  <c r="AH34" i="1"/>
  <c r="AE34" i="1"/>
  <c r="AG34" i="1"/>
  <c r="AD34" i="1"/>
  <c r="AC34" i="1"/>
  <c r="AF34" i="1"/>
  <c r="AJ34" i="1"/>
  <c r="AI34" i="1"/>
  <c r="G59" i="1"/>
  <c r="P59" i="1" s="1"/>
  <c r="I59" i="1"/>
  <c r="Q59" i="1" s="1"/>
  <c r="M29" i="1"/>
  <c r="M99" i="1"/>
  <c r="O99" i="1" s="1"/>
  <c r="L99" i="1"/>
  <c r="AG24" i="1"/>
  <c r="AC24" i="1"/>
  <c r="X10" i="1" s="1"/>
  <c r="AF24" i="1"/>
  <c r="AE24" i="1"/>
  <c r="AD24" i="1"/>
  <c r="AJ24" i="1"/>
  <c r="AI24" i="1"/>
  <c r="AH24" i="1"/>
  <c r="N71" i="1"/>
  <c r="M71" i="1"/>
  <c r="O71" i="1" s="1"/>
  <c r="M32" i="1"/>
  <c r="O32" i="1" s="1"/>
  <c r="F58" i="1"/>
  <c r="I58" i="1" s="1"/>
  <c r="Q58" i="1" s="1"/>
  <c r="G58" i="1"/>
  <c r="P58" i="1" s="1"/>
  <c r="E77" i="1"/>
  <c r="Q92" i="1"/>
  <c r="S92" i="1" s="1"/>
  <c r="Q89" i="1"/>
  <c r="S86" i="1" s="1"/>
  <c r="Q85" i="1"/>
  <c r="S85" i="1" s="1"/>
  <c r="Q90" i="1"/>
  <c r="S90" i="1" s="1"/>
  <c r="Q86" i="1"/>
  <c r="S89" i="1" s="1"/>
  <c r="Q88" i="1"/>
  <c r="S91" i="1" s="1"/>
  <c r="AE31" i="1"/>
  <c r="AH31" i="1"/>
  <c r="AG31" i="1"/>
  <c r="AD31" i="1"/>
  <c r="AC31" i="1"/>
  <c r="AF31" i="1"/>
  <c r="AJ31" i="1"/>
  <c r="AI31" i="1"/>
  <c r="K102" i="1"/>
  <c r="L102" i="1" s="1"/>
  <c r="M102" i="1"/>
  <c r="O102" i="1" s="1"/>
  <c r="M23" i="1"/>
  <c r="O23" i="1" s="1"/>
  <c r="I66" i="1"/>
  <c r="Q66" i="1" s="1"/>
  <c r="F70" i="1"/>
  <c r="I70" i="1" s="1"/>
  <c r="Q70" i="1" s="1"/>
  <c r="E70" i="1"/>
  <c r="G70" i="1"/>
  <c r="P70" i="1" s="1"/>
  <c r="R70" i="1" s="1"/>
  <c r="M95" i="1"/>
  <c r="O95" i="1" s="1"/>
  <c r="L95" i="1"/>
  <c r="K100" i="1"/>
  <c r="L100" i="1" s="1"/>
  <c r="AG28" i="1"/>
  <c r="X21" i="1" s="1"/>
  <c r="AJ28" i="1"/>
  <c r="X24" i="1" s="1"/>
  <c r="AF28" i="1"/>
  <c r="X20" i="1" s="1"/>
  <c r="AD28" i="1"/>
  <c r="X18" i="1" s="1"/>
  <c r="AI28" i="1"/>
  <c r="X23" i="1" s="1"/>
  <c r="AC28" i="1"/>
  <c r="X17" i="1" s="1"/>
  <c r="AH28" i="1"/>
  <c r="X22" i="1" s="1"/>
  <c r="AE28" i="1"/>
  <c r="X19" i="1" s="1"/>
  <c r="L33" i="1"/>
  <c r="K36" i="1"/>
  <c r="L36" i="1" s="1"/>
  <c r="E66" i="1"/>
  <c r="F68" i="1"/>
  <c r="I68" i="1" s="1"/>
  <c r="Q68" i="1" s="1"/>
  <c r="E68" i="1"/>
  <c r="G68" i="1" s="1"/>
  <c r="P68" i="1" s="1"/>
  <c r="R68" i="1" s="1"/>
  <c r="L71" i="1"/>
  <c r="E80" i="1"/>
  <c r="O39" i="1"/>
  <c r="AF25" i="1"/>
  <c r="AH25" i="1"/>
  <c r="X11" i="1" s="1"/>
  <c r="AG25" i="1"/>
  <c r="AE25" i="1"/>
  <c r="AD25" i="1"/>
  <c r="AC25" i="1"/>
  <c r="AJ25" i="1"/>
  <c r="X13" i="1" s="1"/>
  <c r="AI25" i="1"/>
  <c r="AE37" i="1"/>
  <c r="AD37" i="1"/>
  <c r="AC37" i="1"/>
  <c r="AJ37" i="1"/>
  <c r="AI37" i="1"/>
  <c r="AH37" i="1"/>
  <c r="AG37" i="1"/>
  <c r="AF37" i="1"/>
  <c r="N72" i="1"/>
  <c r="E43" i="1"/>
  <c r="G43" i="1" s="1"/>
  <c r="P43" i="1" s="1"/>
  <c r="R43" i="1" s="1"/>
  <c r="C46" i="1"/>
  <c r="E51" i="1"/>
  <c r="G51" i="1" s="1"/>
  <c r="P51" i="1" s="1"/>
  <c r="R51" i="1" s="1"/>
  <c r="M54" i="1"/>
  <c r="O54" i="1" s="1"/>
  <c r="C17" i="1"/>
  <c r="AI26" i="1"/>
  <c r="AI32" i="1"/>
  <c r="AI35" i="1"/>
  <c r="AC29" i="1"/>
  <c r="X25" i="1" s="1"/>
  <c r="AG29" i="1"/>
  <c r="X29" i="1" s="1"/>
  <c r="E40" i="1"/>
  <c r="G40" i="1" s="1"/>
  <c r="P40" i="1" s="1"/>
  <c r="R40" i="1" s="1"/>
  <c r="F47" i="1"/>
  <c r="I47" i="1" s="1"/>
  <c r="Q47" i="1" s="1"/>
  <c r="E48" i="1"/>
  <c r="G48" i="1" s="1"/>
  <c r="P48" i="1" s="1"/>
  <c r="R48" i="1" s="1"/>
  <c r="AJ26" i="1"/>
  <c r="AJ32" i="1"/>
  <c r="AD29" i="1"/>
  <c r="X26" i="1" s="1"/>
  <c r="AH29" i="1"/>
  <c r="X30" i="1" s="1"/>
  <c r="I63" i="1"/>
  <c r="Q63" i="1" s="1"/>
  <c r="L101" i="1"/>
  <c r="C45" i="1"/>
  <c r="G47" i="1"/>
  <c r="P47" i="1" s="1"/>
  <c r="C53" i="1"/>
  <c r="AD26" i="1"/>
  <c r="AD32" i="1"/>
  <c r="AD35" i="1"/>
  <c r="C42" i="1"/>
  <c r="I43" i="1"/>
  <c r="Q43" i="1" s="1"/>
  <c r="C50" i="1"/>
  <c r="I51" i="1"/>
  <c r="Q51" i="1" s="1"/>
  <c r="AE26" i="1"/>
  <c r="AE32" i="1"/>
  <c r="AE35" i="1"/>
  <c r="AE29" i="1"/>
  <c r="X27" i="1" s="1"/>
  <c r="AI29" i="1"/>
  <c r="X31" i="1" s="1"/>
  <c r="I48" i="1"/>
  <c r="Q48" i="1" s="1"/>
  <c r="AF26" i="1"/>
  <c r="G63" i="1"/>
  <c r="P63" i="1" s="1"/>
  <c r="R63" i="1" s="1"/>
  <c r="I64" i="1"/>
  <c r="Q64" i="1" s="1"/>
  <c r="R64" i="1" s="1"/>
  <c r="C16" i="1"/>
  <c r="C44" i="1"/>
  <c r="C52" i="1"/>
  <c r="AG26" i="1"/>
  <c r="AG32" i="1"/>
  <c r="AG35" i="1"/>
  <c r="AF29" i="1"/>
  <c r="X28" i="1" s="1"/>
  <c r="C62" i="1"/>
  <c r="C41" i="1"/>
  <c r="K64" i="1" l="1"/>
  <c r="L64" i="1"/>
  <c r="K48" i="1"/>
  <c r="L48" i="1"/>
  <c r="L68" i="1"/>
  <c r="K68" i="1"/>
  <c r="K51" i="1"/>
  <c r="L51" i="1"/>
  <c r="K43" i="1"/>
  <c r="L43" i="1"/>
  <c r="K40" i="1"/>
  <c r="L40" i="1"/>
  <c r="M109" i="1"/>
  <c r="I50" i="1"/>
  <c r="Q50" i="1" s="1"/>
  <c r="E50" i="1"/>
  <c r="G50" i="1" s="1"/>
  <c r="P50" i="1" s="1"/>
  <c r="R50" i="1" s="1"/>
  <c r="F50" i="1"/>
  <c r="F45" i="1"/>
  <c r="I45" i="1" s="1"/>
  <c r="Q45" i="1" s="1"/>
  <c r="E45" i="1"/>
  <c r="G45" i="1" s="1"/>
  <c r="P45" i="1" s="1"/>
  <c r="R45" i="1" s="1"/>
  <c r="X12" i="1"/>
  <c r="R59" i="1"/>
  <c r="N106" i="1"/>
  <c r="J106" i="1"/>
  <c r="O106" i="1"/>
  <c r="M36" i="1"/>
  <c r="O36" i="1" s="1"/>
  <c r="N105" i="1"/>
  <c r="J105" i="1"/>
  <c r="O105" i="1"/>
  <c r="E17" i="1"/>
  <c r="G17" i="1" s="1"/>
  <c r="P17" i="1" s="1"/>
  <c r="R17" i="1" s="1"/>
  <c r="F17" i="1"/>
  <c r="I17" i="1"/>
  <c r="Q17" i="1" s="1"/>
  <c r="O72" i="1"/>
  <c r="N60" i="1"/>
  <c r="M60" i="1"/>
  <c r="O60" i="1" s="1"/>
  <c r="R47" i="1"/>
  <c r="M100" i="1"/>
  <c r="O100" i="1" s="1"/>
  <c r="K67" i="1"/>
  <c r="L67" i="1"/>
  <c r="K61" i="1"/>
  <c r="L61" i="1"/>
  <c r="K65" i="1"/>
  <c r="L65" i="1"/>
  <c r="I42" i="1"/>
  <c r="Q42" i="1" s="1"/>
  <c r="E42" i="1"/>
  <c r="G42" i="1" s="1"/>
  <c r="P42" i="1" s="1"/>
  <c r="R42" i="1" s="1"/>
  <c r="F42" i="1"/>
  <c r="E44" i="1"/>
  <c r="G44" i="1" s="1"/>
  <c r="P44" i="1" s="1"/>
  <c r="R44" i="1" s="1"/>
  <c r="F44" i="1"/>
  <c r="I44" i="1" s="1"/>
  <c r="Q44" i="1" s="1"/>
  <c r="J74" i="1"/>
  <c r="M76" i="1" s="1"/>
  <c r="O29" i="1"/>
  <c r="J83" i="1"/>
  <c r="M84" i="1" s="1"/>
  <c r="R49" i="1"/>
  <c r="X15" i="1"/>
  <c r="L63" i="1"/>
  <c r="K63" i="1"/>
  <c r="L70" i="1"/>
  <c r="K70" i="1"/>
  <c r="K66" i="1"/>
  <c r="L66" i="1"/>
  <c r="C108" i="1"/>
  <c r="I107" i="1"/>
  <c r="E52" i="1"/>
  <c r="G52" i="1" s="1"/>
  <c r="P52" i="1" s="1"/>
  <c r="F52" i="1"/>
  <c r="I52" i="1" s="1"/>
  <c r="Q52" i="1" s="1"/>
  <c r="E46" i="1"/>
  <c r="G46" i="1"/>
  <c r="P46" i="1" s="1"/>
  <c r="F46" i="1"/>
  <c r="I46" i="1"/>
  <c r="Q46" i="1" s="1"/>
  <c r="E41" i="1"/>
  <c r="G41" i="1" s="1"/>
  <c r="P41" i="1" s="1"/>
  <c r="F41" i="1"/>
  <c r="I41" i="1" s="1"/>
  <c r="Q41" i="1" s="1"/>
  <c r="E16" i="1"/>
  <c r="G16" i="1"/>
  <c r="P16" i="1" s="1"/>
  <c r="F16" i="1"/>
  <c r="I16" i="1"/>
  <c r="Q16" i="1" s="1"/>
  <c r="R58" i="1"/>
  <c r="M96" i="1"/>
  <c r="O96" i="1" s="1"/>
  <c r="M20" i="1"/>
  <c r="O20" i="1" s="1"/>
  <c r="E62" i="1"/>
  <c r="G62" i="1" s="1"/>
  <c r="P62" i="1" s="1"/>
  <c r="R62" i="1" s="1"/>
  <c r="F62" i="1"/>
  <c r="I62" i="1"/>
  <c r="Q62" i="1" s="1"/>
  <c r="F53" i="1"/>
  <c r="I53" i="1" s="1"/>
  <c r="Q53" i="1" s="1"/>
  <c r="E53" i="1"/>
  <c r="G53" i="1"/>
  <c r="P53" i="1" s="1"/>
  <c r="K69" i="1"/>
  <c r="L69" i="1"/>
  <c r="K106" i="1"/>
  <c r="M21" i="1"/>
  <c r="O21" i="1" s="1"/>
  <c r="K50" i="1" l="1"/>
  <c r="L50" i="1"/>
  <c r="K44" i="1"/>
  <c r="L44" i="1"/>
  <c r="R52" i="1"/>
  <c r="K17" i="1"/>
  <c r="L17" i="1"/>
  <c r="K42" i="1"/>
  <c r="L42" i="1"/>
  <c r="K62" i="1"/>
  <c r="L62" i="1"/>
  <c r="K45" i="1"/>
  <c r="L45" i="1"/>
  <c r="R41" i="1"/>
  <c r="N80" i="1"/>
  <c r="K77" i="1"/>
  <c r="L80" i="1"/>
  <c r="K79" i="1"/>
  <c r="K76" i="1"/>
  <c r="K80" i="1"/>
  <c r="K78" i="1"/>
  <c r="M78" i="1"/>
  <c r="M80" i="1"/>
  <c r="M51" i="1"/>
  <c r="O51" i="1" s="1"/>
  <c r="N51" i="1"/>
  <c r="R53" i="1"/>
  <c r="K47" i="1"/>
  <c r="L47" i="1"/>
  <c r="L58" i="1"/>
  <c r="K58" i="1"/>
  <c r="N63" i="1"/>
  <c r="M63" i="1"/>
  <c r="N65" i="1"/>
  <c r="M65" i="1"/>
  <c r="O65" i="1" s="1"/>
  <c r="M68" i="1"/>
  <c r="N68" i="1"/>
  <c r="J107" i="1"/>
  <c r="O107" i="1"/>
  <c r="N107" i="1"/>
  <c r="M110" i="1"/>
  <c r="M70" i="1"/>
  <c r="N70" i="1"/>
  <c r="C109" i="1"/>
  <c r="I108" i="1"/>
  <c r="K108" i="1" s="1"/>
  <c r="M61" i="1"/>
  <c r="O61" i="1" s="1"/>
  <c r="N61" i="1"/>
  <c r="R16" i="1"/>
  <c r="R46" i="1"/>
  <c r="K107" i="1"/>
  <c r="K49" i="1"/>
  <c r="L49" i="1"/>
  <c r="N40" i="1"/>
  <c r="M40" i="1"/>
  <c r="N48" i="1"/>
  <c r="M48" i="1"/>
  <c r="O48" i="1" s="1"/>
  <c r="M91" i="1"/>
  <c r="O91" i="1" s="1"/>
  <c r="L88" i="1"/>
  <c r="M85" i="1"/>
  <c r="O85" i="1" s="1"/>
  <c r="L92" i="1"/>
  <c r="M92" i="1" s="1"/>
  <c r="O92" i="1" s="1"/>
  <c r="M88" i="1"/>
  <c r="O88" i="1" s="1"/>
  <c r="L90" i="1"/>
  <c r="M90" i="1" s="1"/>
  <c r="O90" i="1" s="1"/>
  <c r="L86" i="1"/>
  <c r="M86" i="1" s="1"/>
  <c r="O86" i="1" s="1"/>
  <c r="L89" i="1"/>
  <c r="M89" i="1" s="1"/>
  <c r="O89" i="1" s="1"/>
  <c r="L87" i="1"/>
  <c r="M87" i="1" s="1"/>
  <c r="O87" i="1" s="1"/>
  <c r="L91" i="1"/>
  <c r="L85" i="1"/>
  <c r="N67" i="1"/>
  <c r="M67" i="1"/>
  <c r="O67" i="1" s="1"/>
  <c r="N69" i="1"/>
  <c r="M69" i="1"/>
  <c r="O69" i="1" s="1"/>
  <c r="M66" i="1"/>
  <c r="O66" i="1" s="1"/>
  <c r="N66" i="1"/>
  <c r="K59" i="1"/>
  <c r="L59" i="1"/>
  <c r="M43" i="1"/>
  <c r="N43" i="1"/>
  <c r="M64" i="1"/>
  <c r="N64" i="1"/>
  <c r="O40" i="1" l="1"/>
  <c r="O63" i="1"/>
  <c r="M42" i="1"/>
  <c r="N42" i="1"/>
  <c r="N58" i="1"/>
  <c r="M58" i="1"/>
  <c r="O58" i="1" s="1"/>
  <c r="K41" i="1"/>
  <c r="L41" i="1"/>
  <c r="M17" i="1"/>
  <c r="O17" i="1" s="1"/>
  <c r="N17" i="1"/>
  <c r="J108" i="1"/>
  <c r="O108" i="1"/>
  <c r="N108" i="1"/>
  <c r="O64" i="1"/>
  <c r="M49" i="1"/>
  <c r="O49" i="1" s="1"/>
  <c r="N49" i="1"/>
  <c r="C110" i="1"/>
  <c r="I109" i="1"/>
  <c r="K109" i="1"/>
  <c r="K52" i="1"/>
  <c r="L52" i="1"/>
  <c r="M45" i="1"/>
  <c r="N45" i="1"/>
  <c r="O43" i="1"/>
  <c r="L46" i="1"/>
  <c r="K46" i="1"/>
  <c r="O70" i="1"/>
  <c r="O68" i="1"/>
  <c r="M47" i="1"/>
  <c r="O47" i="1" s="1"/>
  <c r="N47" i="1"/>
  <c r="M44" i="1"/>
  <c r="O44" i="1" s="1"/>
  <c r="N44" i="1"/>
  <c r="L16" i="1"/>
  <c r="K16" i="1"/>
  <c r="K53" i="1"/>
  <c r="L53" i="1"/>
  <c r="N62" i="1"/>
  <c r="M62" i="1"/>
  <c r="O62" i="1" s="1"/>
  <c r="M59" i="1"/>
  <c r="O59" i="1" s="1"/>
  <c r="N59" i="1"/>
  <c r="M111" i="1"/>
  <c r="M50" i="1"/>
  <c r="O50" i="1" s="1"/>
  <c r="N50" i="1"/>
  <c r="M41" i="1" l="1"/>
  <c r="N41" i="1"/>
  <c r="O45" i="1"/>
  <c r="M52" i="1"/>
  <c r="O52" i="1" s="1"/>
  <c r="N52" i="1"/>
  <c r="O42" i="1"/>
  <c r="M53" i="1"/>
  <c r="N53" i="1"/>
  <c r="N16" i="1"/>
  <c r="M16" i="1"/>
  <c r="O16" i="1" s="1"/>
  <c r="M46" i="1"/>
  <c r="N46" i="1"/>
  <c r="J109" i="1"/>
  <c r="O109" i="1"/>
  <c r="N109" i="1"/>
  <c r="I110" i="1"/>
  <c r="K110" i="1" s="1"/>
  <c r="C111" i="1"/>
  <c r="O53" i="1" l="1"/>
  <c r="I111" i="1"/>
  <c r="O46" i="1"/>
  <c r="J110" i="1"/>
  <c r="O110" i="1"/>
  <c r="N110" i="1"/>
  <c r="O41" i="1"/>
  <c r="J111" i="1" l="1"/>
  <c r="N111" i="1"/>
  <c r="O111" i="1"/>
  <c r="K111" i="1"/>
</calcChain>
</file>

<file path=xl/sharedStrings.xml><?xml version="1.0" encoding="utf-8"?>
<sst xmlns="http://schemas.openxmlformats.org/spreadsheetml/2006/main" count="505" uniqueCount="163">
  <si>
    <t xml:space="preserve"> MHz</t>
    <phoneticPr fontId="2"/>
  </si>
  <si>
    <t xml:space="preserve">   Hz</t>
    <phoneticPr fontId="2"/>
  </si>
  <si>
    <t>bps</t>
    <phoneticPr fontId="2"/>
  </si>
  <si>
    <t>LOW</t>
    <phoneticPr fontId="2"/>
  </si>
  <si>
    <t>HIGH</t>
    <phoneticPr fontId="2"/>
  </si>
  <si>
    <t>mSEC</t>
    <phoneticPr fontId="2"/>
  </si>
  <si>
    <t>計算値</t>
    <rPh sb="0" eb="2">
      <t>ケイサン</t>
    </rPh>
    <rPh sb="2" eb="3">
      <t>チ</t>
    </rPh>
    <phoneticPr fontId="2"/>
  </si>
  <si>
    <t>HEX</t>
    <phoneticPr fontId="2"/>
  </si>
  <si>
    <t>Timer_1 16</t>
    <phoneticPr fontId="2"/>
  </si>
  <si>
    <t>Timer_0 16</t>
    <phoneticPr fontId="2"/>
  </si>
  <si>
    <t>Timer_0  8</t>
    <phoneticPr fontId="2"/>
  </si>
  <si>
    <t>mSEC</t>
    <phoneticPr fontId="2"/>
  </si>
  <si>
    <t>Timer_1  8</t>
    <phoneticPr fontId="2"/>
  </si>
  <si>
    <t>Timer_2  8</t>
    <phoneticPr fontId="2"/>
  </si>
  <si>
    <t>KHz</t>
    <phoneticPr fontId="2"/>
  </si>
  <si>
    <t>要求値</t>
    <rPh sb="0" eb="2">
      <t>ヨウキュウ</t>
    </rPh>
    <rPh sb="2" eb="3">
      <t>チ</t>
    </rPh>
    <phoneticPr fontId="2"/>
  </si>
  <si>
    <t>Timer_3 16</t>
    <phoneticPr fontId="2"/>
  </si>
  <si>
    <t>Timer_3  8</t>
    <phoneticPr fontId="2"/>
  </si>
  <si>
    <t>Post_sc</t>
    <phoneticPr fontId="2"/>
  </si>
  <si>
    <t>Pre_sc</t>
    <phoneticPr fontId="2"/>
  </si>
  <si>
    <t>ON</t>
    <phoneticPr fontId="2"/>
  </si>
  <si>
    <t>OFF</t>
    <phoneticPr fontId="2"/>
  </si>
  <si>
    <t>duty(%)</t>
    <phoneticPr fontId="2"/>
  </si>
  <si>
    <t>青文字</t>
    <rPh sb="0" eb="1">
      <t>アオ</t>
    </rPh>
    <rPh sb="1" eb="3">
      <t>モジ</t>
    </rPh>
    <phoneticPr fontId="2"/>
  </si>
  <si>
    <t xml:space="preserve"> ←変更可</t>
    <rPh sb="2" eb="4">
      <t>ヘンコウ</t>
    </rPh>
    <rPh sb="4" eb="5">
      <t>カ</t>
    </rPh>
    <phoneticPr fontId="2"/>
  </si>
  <si>
    <t xml:space="preserve"> ← 回答</t>
    <rPh sb="3" eb="5">
      <t>カイトウ</t>
    </rPh>
    <phoneticPr fontId="2"/>
  </si>
  <si>
    <t>内部 ｸﾛｯｸ</t>
    <rPh sb="0" eb="2">
      <t>ナイブ</t>
    </rPh>
    <phoneticPr fontId="2"/>
  </si>
  <si>
    <t>外部 ｸﾛｯｸ</t>
    <rPh sb="0" eb="2">
      <t>ガイブ</t>
    </rPh>
    <phoneticPr fontId="2"/>
  </si>
  <si>
    <t>Timer_4  8</t>
    <phoneticPr fontId="2"/>
  </si>
  <si>
    <t xml:space="preserve"> ←固定値</t>
    <rPh sb="2" eb="5">
      <t>コテイチ</t>
    </rPh>
    <phoneticPr fontId="2"/>
  </si>
  <si>
    <t>μSEC</t>
    <phoneticPr fontId="2"/>
  </si>
  <si>
    <t>Hz</t>
    <phoneticPr fontId="2"/>
  </si>
  <si>
    <t>逆数</t>
    <rPh sb="0" eb="2">
      <t>ギャクスウ</t>
    </rPh>
    <phoneticPr fontId="2"/>
  </si>
  <si>
    <t>0.1%</t>
    <phoneticPr fontId="2"/>
  </si>
  <si>
    <t>Fosc / 4</t>
    <phoneticPr fontId="2"/>
  </si>
  <si>
    <t>Fosc</t>
    <phoneticPr fontId="2"/>
  </si>
  <si>
    <t>00FFH</t>
    <phoneticPr fontId="2"/>
  </si>
  <si>
    <t>0000H</t>
    <phoneticPr fontId="2"/>
  </si>
  <si>
    <t>HIGH</t>
    <phoneticPr fontId="2"/>
  </si>
  <si>
    <t>Kbps</t>
    <phoneticPr fontId="2"/>
  </si>
  <si>
    <t>Low Err</t>
    <phoneticPr fontId="2"/>
  </si>
  <si>
    <t>High Err</t>
    <phoneticPr fontId="2"/>
  </si>
  <si>
    <t>-</t>
    <phoneticPr fontId="2"/>
  </si>
  <si>
    <t>-</t>
    <phoneticPr fontId="2"/>
  </si>
  <si>
    <t>最小</t>
    <rPh sb="0" eb="2">
      <t>サイショウ</t>
    </rPh>
    <phoneticPr fontId="2"/>
  </si>
  <si>
    <t>最大</t>
    <rPh sb="0" eb="2">
      <t>サイダイ</t>
    </rPh>
    <phoneticPr fontId="2"/>
  </si>
  <si>
    <t>入力</t>
    <rPh sb="0" eb="2">
      <t>ニュウリョク</t>
    </rPh>
    <phoneticPr fontId="2"/>
  </si>
  <si>
    <t>モード</t>
    <phoneticPr fontId="2"/>
  </si>
  <si>
    <t>Low</t>
    <phoneticPr fontId="2"/>
  </si>
  <si>
    <t>High</t>
    <phoneticPr fontId="2"/>
  </si>
  <si>
    <t>UART</t>
    <phoneticPr fontId="2"/>
  </si>
  <si>
    <t>tmp</t>
    <phoneticPr fontId="2"/>
  </si>
  <si>
    <t>tmp</t>
    <phoneticPr fontId="2"/>
  </si>
  <si>
    <t>TMRxHL</t>
    <phoneticPr fontId="2"/>
  </si>
  <si>
    <t>SPBRG</t>
    <phoneticPr fontId="2"/>
  </si>
  <si>
    <t>モード</t>
    <phoneticPr fontId="2"/>
  </si>
  <si>
    <t>SPBRG</t>
    <phoneticPr fontId="2"/>
  </si>
  <si>
    <t>Hz</t>
    <phoneticPr fontId="2"/>
  </si>
  <si>
    <t>[1][2][3][A]</t>
    <phoneticPr fontId="2"/>
  </si>
  <si>
    <t>[4][5][6][B]</t>
    <phoneticPr fontId="2"/>
  </si>
  <si>
    <t>[7][8][9][C]</t>
    <phoneticPr fontId="2"/>
  </si>
  <si>
    <t>[*][0][#][D]</t>
    <phoneticPr fontId="2"/>
  </si>
  <si>
    <t>KHz</t>
    <phoneticPr fontId="2"/>
  </si>
  <si>
    <t>Hz</t>
    <phoneticPr fontId="2"/>
  </si>
  <si>
    <t>個</t>
    <rPh sb="0" eb="1">
      <t>コ</t>
    </rPh>
    <phoneticPr fontId="2"/>
  </si>
  <si>
    <t>sin</t>
    <phoneticPr fontId="2"/>
  </si>
  <si>
    <t>テーブル</t>
    <phoneticPr fontId="2"/>
  </si>
  <si>
    <t>KHz   sin</t>
    <phoneticPr fontId="2"/>
  </si>
  <si>
    <t>基準 PWM</t>
    <rPh sb="0" eb="2">
      <t>キジュン</t>
    </rPh>
    <phoneticPr fontId="2"/>
  </si>
  <si>
    <t>基準  1Hz</t>
    <rPh sb="0" eb="2">
      <t>キジュン</t>
    </rPh>
    <phoneticPr fontId="2"/>
  </si>
  <si>
    <t xml:space="preserve"> ←他で使用</t>
    <rPh sb="2" eb="3">
      <t>ホカ</t>
    </rPh>
    <rPh sb="4" eb="6">
      <t>シヨウ</t>
    </rPh>
    <phoneticPr fontId="2"/>
  </si>
  <si>
    <t>PR2</t>
    <phoneticPr fontId="2"/>
  </si>
  <si>
    <t>PR4</t>
    <phoneticPr fontId="2"/>
  </si>
  <si>
    <t>周期 T</t>
    <rPh sb="0" eb="2">
      <t>シュウキ</t>
    </rPh>
    <phoneticPr fontId="2"/>
  </si>
  <si>
    <t>Hz</t>
    <phoneticPr fontId="2"/>
  </si>
  <si>
    <t>矩形波出力</t>
    <rPh sb="0" eb="2">
      <t>クケイ</t>
    </rPh>
    <rPh sb="2" eb="3">
      <t>ナミ</t>
    </rPh>
    <rPh sb="3" eb="5">
      <t>シュツリョク</t>
    </rPh>
    <phoneticPr fontId="2"/>
  </si>
  <si>
    <t>誤差</t>
    <rPh sb="0" eb="2">
      <t>ゴサ</t>
    </rPh>
    <phoneticPr fontId="2"/>
  </si>
  <si>
    <t>Timer_0 16</t>
    <phoneticPr fontId="2"/>
  </si>
  <si>
    <t>0FFH</t>
    <phoneticPr fontId="2"/>
  </si>
  <si>
    <t>2465Hz</t>
  </si>
  <si>
    <t>1000Hz</t>
    <phoneticPr fontId="2"/>
  </si>
  <si>
    <t>2125Hz</t>
  </si>
  <si>
    <t>2805Hz</t>
  </si>
  <si>
    <t>1955Hz</t>
  </si>
  <si>
    <t>2635Hz</t>
  </si>
  <si>
    <t>2295Hz</t>
  </si>
  <si>
    <t>2975Hz</t>
  </si>
  <si>
    <t>配列順</t>
    <rPh sb="0" eb="2">
      <t>ハイレツ</t>
    </rPh>
    <rPh sb="2" eb="3">
      <t>ジュン</t>
    </rPh>
    <phoneticPr fontId="2"/>
  </si>
  <si>
    <t>PR2 値</t>
    <rPh sb="4" eb="5">
      <t>アタイ</t>
    </rPh>
    <phoneticPr fontId="2"/>
  </si>
  <si>
    <t>倍率</t>
    <rPh sb="0" eb="2">
      <t>バイリツ</t>
    </rPh>
    <phoneticPr fontId="2"/>
  </si>
  <si>
    <t>ボリューム</t>
    <phoneticPr fontId="2"/>
  </si>
  <si>
    <t>DTMF</t>
    <phoneticPr fontId="2"/>
  </si>
  <si>
    <t>18F4620</t>
  </si>
  <si>
    <t>PIC</t>
    <phoneticPr fontId="2"/>
  </si>
  <si>
    <t>互換 8bit</t>
    <rPh sb="0" eb="2">
      <t>ゴカン</t>
    </rPh>
    <phoneticPr fontId="2"/>
  </si>
  <si>
    <t>新設 16bit</t>
    <rPh sb="0" eb="2">
      <t>シンセツ</t>
    </rPh>
    <phoneticPr fontId="2"/>
  </si>
  <si>
    <t>0FFFFH</t>
    <phoneticPr fontId="2"/>
  </si>
  <si>
    <t>00000H</t>
    <phoneticPr fontId="2"/>
  </si>
  <si>
    <t>貼付らん</t>
    <rPh sb="0" eb="1">
      <t>ハ</t>
    </rPh>
    <rPh sb="1" eb="2">
      <t>ツ</t>
    </rPh>
    <phoneticPr fontId="2"/>
  </si>
  <si>
    <t>RCON</t>
    <phoneticPr fontId="2"/>
  </si>
  <si>
    <t>優先割込</t>
    <rPh sb="0" eb="2">
      <t>ユウセン</t>
    </rPh>
    <rPh sb="2" eb="3">
      <t>ワ</t>
    </rPh>
    <rPh sb="3" eb="4">
      <t>コ</t>
    </rPh>
    <phoneticPr fontId="2"/>
  </si>
  <si>
    <t>@IPEN</t>
    <phoneticPr fontId="2"/>
  </si>
  <si>
    <t>@ADIF</t>
    <phoneticPr fontId="2"/>
  </si>
  <si>
    <t>@TMR0IF</t>
    <phoneticPr fontId="2"/>
  </si>
  <si>
    <t>@INT0IF</t>
    <phoneticPr fontId="2"/>
  </si>
  <si>
    <t>@RBIF</t>
    <phoneticPr fontId="2"/>
  </si>
  <si>
    <t>@INT2IF</t>
    <phoneticPr fontId="2"/>
  </si>
  <si>
    <t>@PSPIF</t>
    <phoneticPr fontId="2"/>
  </si>
  <si>
    <t>@RCIF</t>
    <phoneticPr fontId="2"/>
  </si>
  <si>
    <t>@TXIF</t>
    <phoneticPr fontId="2"/>
  </si>
  <si>
    <t>@SSPIF</t>
    <phoneticPr fontId="2"/>
  </si>
  <si>
    <t>@CCP1IF</t>
    <phoneticPr fontId="2"/>
  </si>
  <si>
    <t>@TMR2IF</t>
    <phoneticPr fontId="2"/>
  </si>
  <si>
    <t>@TMR1IF</t>
    <phoneticPr fontId="2"/>
  </si>
  <si>
    <t>@INT1IF</t>
    <phoneticPr fontId="2"/>
  </si>
  <si>
    <t>INTCON</t>
    <phoneticPr fontId="2"/>
  </si>
  <si>
    <t>INTCON3</t>
    <phoneticPr fontId="2"/>
  </si>
  <si>
    <t>PIR1</t>
    <phoneticPr fontId="2"/>
  </si>
  <si>
    <t>PIR2</t>
    <phoneticPr fontId="2"/>
  </si>
  <si>
    <t>INTCON2</t>
    <phoneticPr fontId="2"/>
  </si>
  <si>
    <t>@OSCFIF</t>
    <phoneticPr fontId="2"/>
  </si>
  <si>
    <t>@CMIF</t>
    <phoneticPr fontId="2"/>
  </si>
  <si>
    <t>(PIR3)</t>
    <phoneticPr fontId="2"/>
  </si>
  <si>
    <t>未実装</t>
    <rPh sb="0" eb="3">
      <t>ミジッソウ</t>
    </rPh>
    <phoneticPr fontId="2"/>
  </si>
  <si>
    <t>PIR3</t>
    <phoneticPr fontId="2"/>
  </si>
  <si>
    <t>@EEIF</t>
    <phoneticPr fontId="2"/>
  </si>
  <si>
    <t>@BCLIF</t>
    <phoneticPr fontId="2"/>
  </si>
  <si>
    <t>@HLVD</t>
    <phoneticPr fontId="2"/>
  </si>
  <si>
    <t>@TMR3IF</t>
    <phoneticPr fontId="2"/>
  </si>
  <si>
    <t>@CCP2IF</t>
    <phoneticPr fontId="2"/>
  </si>
  <si>
    <t>PIE1</t>
    <phoneticPr fontId="2"/>
  </si>
  <si>
    <t>(PIE3)</t>
    <phoneticPr fontId="2"/>
  </si>
  <si>
    <t>(IPR3)</t>
    <phoneticPr fontId="2"/>
  </si>
  <si>
    <t>STATUS</t>
    <phoneticPr fontId="2"/>
  </si>
  <si>
    <t>Wreg</t>
    <phoneticPr fontId="2"/>
  </si>
  <si>
    <t>PIE2</t>
    <phoneticPr fontId="2"/>
  </si>
  <si>
    <t>IPR1</t>
    <phoneticPr fontId="2"/>
  </si>
  <si>
    <t>IPR2</t>
    <phoneticPr fontId="2"/>
  </si>
  <si>
    <t>TXSTA</t>
    <phoneticPr fontId="2"/>
  </si>
  <si>
    <t>RCSTA</t>
    <phoneticPr fontId="2"/>
  </si>
  <si>
    <t>モード</t>
    <phoneticPr fontId="2"/>
  </si>
  <si>
    <t>新設16bit</t>
    <rPh sb="0" eb="2">
      <t>シンセツ</t>
    </rPh>
    <phoneticPr fontId="2"/>
  </si>
  <si>
    <t xml:space="preserve"> Hz</t>
    <phoneticPr fontId="2"/>
  </si>
  <si>
    <t>Fosc</t>
    <phoneticPr fontId="2"/>
  </si>
  <si>
    <t>〃</t>
    <phoneticPr fontId="2"/>
  </si>
  <si>
    <t>PLL可能</t>
    <rPh sb="3" eb="5">
      <t>カノウ</t>
    </rPh>
    <phoneticPr fontId="2"/>
  </si>
  <si>
    <t>PLL不可</t>
    <rPh sb="3" eb="5">
      <t>フカ</t>
    </rPh>
    <phoneticPr fontId="2"/>
  </si>
  <si>
    <t>INTOSC</t>
    <phoneticPr fontId="2"/>
  </si>
  <si>
    <t>各種</t>
    <rPh sb="0" eb="2">
      <t>カクシュ</t>
    </rPh>
    <phoneticPr fontId="2"/>
  </si>
  <si>
    <t>計算式</t>
    <rPh sb="0" eb="2">
      <t>ケイサン</t>
    </rPh>
    <rPh sb="2" eb="3">
      <t>シキ</t>
    </rPh>
    <phoneticPr fontId="2"/>
  </si>
  <si>
    <t>EUSART</t>
    <phoneticPr fontId="2"/>
  </si>
  <si>
    <t>USART</t>
    <phoneticPr fontId="2"/>
  </si>
  <si>
    <t xml:space="preserve">0F80  00 32 DC 49 05 00 00 00  00 00 F0 DC 49 00 00 00 </t>
  </si>
  <si>
    <t xml:space="preserve">0F90  00 00 00 8F 93 00 05 00  00 00 00 00 00 20 30 00 </t>
  </si>
  <si>
    <t xml:space="preserve">0FA0  04 00 01 00 00 00 00 00  00 0A 00 90 26 20 61 56 </t>
  </si>
  <si>
    <t xml:space="preserve">0FB0  00 88 80 00 07 00 00 00  48 00 0B 0A 01 00 4A 10 </t>
  </si>
  <si>
    <t xml:space="preserve">0FC0  00 0F 00 00 00 00 31 00  00 00 00 FF 00 00 02 10 </t>
  </si>
  <si>
    <t xml:space="preserve">0FD0  9F 00 3E 78 00 9F 11 F5  00 36 0D 00 00 00 00 00 </t>
  </si>
  <si>
    <t xml:space="preserve">0FE0  0A 39 0D 00 00 00 00 00  01 28 00 00 00 00 00 00 </t>
  </si>
  <si>
    <t xml:space="preserve">0FF0  CA 90 A2 23 00 89 E8 E5  00 00 3A 00 0D 00 00 00 </t>
  </si>
  <si>
    <t>誤差無し</t>
    <rPh sb="0" eb="2">
      <t>ゴサ</t>
    </rPh>
    <rPh sb="2" eb="3">
      <t>ナ</t>
    </rPh>
    <phoneticPr fontId="2"/>
  </si>
  <si>
    <t>周波数</t>
    <rPh sb="0" eb="3">
      <t>シュウハスウ</t>
    </rPh>
    <phoneticPr fontId="2"/>
  </si>
  <si>
    <t>UART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</si>
</sst>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80" formatCode="0.000000"/>
    <numFmt numFmtId="181" formatCode="0_ "/>
    <numFmt numFmtId="182" formatCode="0.0_ "/>
    <numFmt numFmtId="183" formatCode="0.0_);[Red]\(0.0\)"/>
    <numFmt numFmtId="185" formatCode="#,##0.0000_ "/>
    <numFmt numFmtId="186" formatCode="0.00_ "/>
    <numFmt numFmtId="187" formatCode="#,##0.000000_ "/>
    <numFmt numFmtId="188" formatCode="0.000000_);[Red]\(0.000000\)"/>
    <numFmt numFmtId="189" formatCode="0.000_ "/>
    <numFmt numFmtId="190" formatCode="0.00000_ "/>
    <numFmt numFmtId="191" formatCode="0.0000_ "/>
    <numFmt numFmtId="193" formatCode="0.00_);[Red]\(0.00\)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1" xfId="0" applyBorder="1"/>
    <xf numFmtId="0" fontId="0" fillId="0" borderId="0" xfId="0" applyBorder="1"/>
    <xf numFmtId="185" fontId="0" fillId="0" borderId="1" xfId="0" applyNumberFormat="1" applyBorder="1"/>
    <xf numFmtId="185" fontId="0" fillId="0" borderId="0" xfId="0" applyNumberFormat="1" applyBorder="1"/>
    <xf numFmtId="186" fontId="0" fillId="0" borderId="0" xfId="0" applyNumberFormat="1" applyBorder="1"/>
    <xf numFmtId="0" fontId="5" fillId="0" borderId="0" xfId="0" applyFont="1"/>
    <xf numFmtId="0" fontId="0" fillId="0" borderId="0" xfId="0" applyAlignment="1">
      <alignment horizontal="center"/>
    </xf>
    <xf numFmtId="0" fontId="4" fillId="2" borderId="0" xfId="0" applyFont="1" applyFill="1"/>
    <xf numFmtId="187" fontId="0" fillId="0" borderId="0" xfId="0" applyNumberFormat="1" applyBorder="1" applyAlignment="1">
      <alignment horizontal="right"/>
    </xf>
    <xf numFmtId="0" fontId="6" fillId="0" borderId="0" xfId="0" applyFont="1" applyAlignment="1">
      <alignment horizontal="center"/>
    </xf>
    <xf numFmtId="10" fontId="0" fillId="0" borderId="0" xfId="0" quotePrefix="1" applyNumberFormat="1" applyAlignment="1">
      <alignment horizontal="center"/>
    </xf>
    <xf numFmtId="186" fontId="0" fillId="0" borderId="0" xfId="0" applyNumberFormat="1"/>
    <xf numFmtId="189" fontId="0" fillId="0" borderId="0" xfId="0" applyNumberFormat="1"/>
    <xf numFmtId="188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0" fontId="0" fillId="3" borderId="1" xfId="0" applyNumberFormat="1" applyFill="1" applyBorder="1"/>
    <xf numFmtId="181" fontId="0" fillId="0" borderId="0" xfId="0" applyNumberFormat="1" applyBorder="1" applyAlignment="1">
      <alignment horizontal="right"/>
    </xf>
    <xf numFmtId="0" fontId="0" fillId="2" borderId="0" xfId="0" applyFill="1" applyAlignment="1">
      <alignment horizontal="center"/>
    </xf>
    <xf numFmtId="183" fontId="0" fillId="0" borderId="0" xfId="0" applyNumberFormat="1" applyAlignment="1">
      <alignment horizontal="right"/>
    </xf>
    <xf numFmtId="183" fontId="0" fillId="0" borderId="0" xfId="0" applyNumberFormat="1" applyAlignment="1">
      <alignment horizontal="center"/>
    </xf>
    <xf numFmtId="180" fontId="0" fillId="3" borderId="1" xfId="0" applyNumberFormat="1" applyFill="1" applyBorder="1"/>
    <xf numFmtId="183" fontId="7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4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0" fillId="3" borderId="1" xfId="0" applyNumberFormat="1" applyFill="1" applyBorder="1" applyAlignment="1">
      <alignment horizontal="right"/>
    </xf>
    <xf numFmtId="190" fontId="5" fillId="0" borderId="0" xfId="0" applyNumberFormat="1" applyFont="1"/>
    <xf numFmtId="182" fontId="5" fillId="0" borderId="0" xfId="0" applyNumberFormat="1" applyFont="1" applyAlignment="1">
      <alignment horizontal="right"/>
    </xf>
    <xf numFmtId="190" fontId="5" fillId="5" borderId="0" xfId="0" applyNumberFormat="1" applyFont="1" applyFill="1"/>
    <xf numFmtId="189" fontId="7" fillId="5" borderId="0" xfId="0" applyNumberFormat="1" applyFont="1" applyFill="1" applyAlignment="1"/>
    <xf numFmtId="0" fontId="0" fillId="2" borderId="0" xfId="0" applyFill="1" applyBorder="1"/>
    <xf numFmtId="0" fontId="3" fillId="3" borderId="1" xfId="0" applyFont="1" applyFill="1" applyBorder="1" applyAlignment="1">
      <alignment horizontal="right"/>
    </xf>
    <xf numFmtId="189" fontId="5" fillId="0" borderId="0" xfId="0" applyNumberFormat="1" applyFont="1"/>
    <xf numFmtId="0" fontId="0" fillId="0" borderId="2" xfId="0" applyBorder="1" applyAlignment="1">
      <alignment horizontal="right"/>
    </xf>
    <xf numFmtId="0" fontId="5" fillId="0" borderId="3" xfId="0" applyFont="1" applyBorder="1"/>
    <xf numFmtId="0" fontId="0" fillId="0" borderId="4" xfId="0" applyBorder="1"/>
    <xf numFmtId="191" fontId="6" fillId="0" borderId="0" xfId="0" applyNumberFormat="1" applyFont="1"/>
    <xf numFmtId="0" fontId="3" fillId="0" borderId="0" xfId="0" applyFont="1" applyAlignment="1">
      <alignment horizontal="center"/>
    </xf>
    <xf numFmtId="190" fontId="5" fillId="6" borderId="0" xfId="0" applyNumberFormat="1" applyFont="1" applyFill="1"/>
    <xf numFmtId="0" fontId="1" fillId="0" borderId="0" xfId="0" applyFont="1"/>
    <xf numFmtId="189" fontId="0" fillId="3" borderId="1" xfId="0" applyNumberFormat="1" applyFill="1" applyBorder="1"/>
    <xf numFmtId="189" fontId="0" fillId="3" borderId="5" xfId="0" applyNumberFormat="1" applyFill="1" applyBorder="1"/>
    <xf numFmtId="189" fontId="7" fillId="4" borderId="0" xfId="0" applyNumberFormat="1" applyFont="1" applyFill="1"/>
    <xf numFmtId="0" fontId="0" fillId="3" borderId="1" xfId="0" applyFill="1" applyBorder="1" applyAlignment="1">
      <alignment horizontal="right"/>
    </xf>
    <xf numFmtId="0" fontId="0" fillId="0" borderId="0" xfId="0" applyFill="1" applyBorder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left"/>
    </xf>
    <xf numFmtId="0" fontId="0" fillId="0" borderId="10" xfId="0" applyBorder="1"/>
    <xf numFmtId="0" fontId="7" fillId="4" borderId="0" xfId="0" applyFont="1" applyFill="1" applyBorder="1" applyAlignment="1">
      <alignment horizontal="center"/>
    </xf>
    <xf numFmtId="0" fontId="4" fillId="2" borderId="0" xfId="0" applyFont="1" applyFill="1" applyBorder="1"/>
    <xf numFmtId="0" fontId="0" fillId="0" borderId="9" xfId="0" applyBorder="1" applyAlignment="1">
      <alignment horizontal="left"/>
    </xf>
    <xf numFmtId="0" fontId="0" fillId="5" borderId="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89" fontId="7" fillId="5" borderId="0" xfId="0" applyNumberFormat="1" applyFont="1" applyFill="1" applyAlignment="1">
      <alignment horizontal="right"/>
    </xf>
    <xf numFmtId="183" fontId="7" fillId="4" borderId="0" xfId="0" applyNumberFormat="1" applyFont="1" applyFill="1" applyAlignment="1">
      <alignment horizontal="right"/>
    </xf>
    <xf numFmtId="193" fontId="5" fillId="0" borderId="0" xfId="0" applyNumberFormat="1" applyFont="1" applyAlignment="1">
      <alignment horizontal="right"/>
    </xf>
    <xf numFmtId="0" fontId="0" fillId="3" borderId="14" xfId="0" applyNumberFormat="1" applyFill="1" applyBorder="1"/>
    <xf numFmtId="0" fontId="0" fillId="3" borderId="15" xfId="0" applyNumberFormat="1" applyFill="1" applyBorder="1"/>
    <xf numFmtId="0" fontId="0" fillId="3" borderId="5" xfId="0" applyNumberFormat="1" applyFill="1" applyBorder="1"/>
    <xf numFmtId="0" fontId="0" fillId="0" borderId="0" xfId="0" quotePrefix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/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91" fontId="0" fillId="0" borderId="6" xfId="0" applyNumberFormat="1" applyBorder="1"/>
    <xf numFmtId="191" fontId="0" fillId="0" borderId="7" xfId="0" applyNumberFormat="1" applyBorder="1"/>
    <xf numFmtId="191" fontId="0" fillId="0" borderId="8" xfId="0" applyNumberFormat="1" applyBorder="1"/>
    <xf numFmtId="191" fontId="0" fillId="0" borderId="9" xfId="0" applyNumberFormat="1" applyBorder="1"/>
    <xf numFmtId="191" fontId="0" fillId="0" borderId="0" xfId="0" applyNumberFormat="1" applyBorder="1"/>
    <xf numFmtId="191" fontId="0" fillId="0" borderId="10" xfId="0" applyNumberFormat="1" applyBorder="1"/>
    <xf numFmtId="191" fontId="0" fillId="0" borderId="11" xfId="0" applyNumberFormat="1" applyBorder="1"/>
    <xf numFmtId="191" fontId="0" fillId="0" borderId="12" xfId="0" applyNumberFormat="1" applyBorder="1"/>
    <xf numFmtId="191" fontId="0" fillId="0" borderId="13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R111"/>
  <sheetViews>
    <sheetView tabSelected="1" topLeftCell="A67" workbookViewId="0">
      <selection activeCell="P81" sqref="P81"/>
    </sheetView>
  </sheetViews>
  <sheetFormatPr defaultRowHeight="13.5" x14ac:dyDescent="0.15"/>
  <cols>
    <col min="2" max="2" width="9.75" customWidth="1"/>
    <col min="3" max="3" width="10.5" bestFit="1" customWidth="1"/>
    <col min="4" max="4" width="5.5" customWidth="1"/>
    <col min="5" max="5" width="8.75" customWidth="1"/>
    <col min="6" max="6" width="8.875" customWidth="1"/>
    <col min="7" max="7" width="10.375" customWidth="1"/>
    <col min="8" max="8" width="7.75" customWidth="1"/>
    <col min="9" max="9" width="8.875" customWidth="1"/>
    <col min="10" max="10" width="7.75" customWidth="1"/>
    <col min="11" max="11" width="8.75" customWidth="1"/>
    <col min="12" max="12" width="9.125" customWidth="1"/>
    <col min="13" max="13" width="10" customWidth="1"/>
    <col min="14" max="14" width="7.625" customWidth="1"/>
    <col min="15" max="15" width="7.125" customWidth="1"/>
    <col min="19" max="19" width="9.5" bestFit="1" customWidth="1"/>
    <col min="24" max="24" width="11.5" bestFit="1" customWidth="1"/>
    <col min="27" max="27" width="9.375" customWidth="1"/>
    <col min="29" max="36" width="2.875" customWidth="1"/>
    <col min="37" max="37" width="3.875" customWidth="1"/>
    <col min="38" max="44" width="2.875" customWidth="1"/>
  </cols>
  <sheetData>
    <row r="2" spans="1:44" ht="14.25" thickBot="1" x14ac:dyDescent="0.2">
      <c r="B2" s="55" t="s">
        <v>93</v>
      </c>
      <c r="C2" s="56" t="s">
        <v>92</v>
      </c>
      <c r="D2" s="47" t="s">
        <v>148</v>
      </c>
      <c r="E2" s="78" t="s">
        <v>149</v>
      </c>
      <c r="H2" s="55" t="s">
        <v>162</v>
      </c>
      <c r="I2" s="47" t="s">
        <v>160</v>
      </c>
      <c r="J2" s="78" t="s">
        <v>161</v>
      </c>
    </row>
    <row r="3" spans="1:44" ht="14.25" thickBot="1" x14ac:dyDescent="0.2">
      <c r="F3" s="47" t="s">
        <v>147</v>
      </c>
      <c r="H3" s="92">
        <v>1.8431999999999999</v>
      </c>
      <c r="I3" s="93">
        <f>H3*11</f>
        <v>20.275199999999998</v>
      </c>
      <c r="J3" s="94">
        <f>H3*21</f>
        <v>38.7072</v>
      </c>
      <c r="L3" s="57"/>
      <c r="M3" s="58"/>
      <c r="N3" s="58"/>
      <c r="O3" s="58"/>
      <c r="P3" s="59"/>
    </row>
    <row r="4" spans="1:44" ht="14.25" thickBot="1" x14ac:dyDescent="0.2">
      <c r="E4" s="10" t="s">
        <v>145</v>
      </c>
      <c r="F4" s="24">
        <v>8</v>
      </c>
      <c r="G4" s="2" t="s">
        <v>0</v>
      </c>
      <c r="H4" s="95">
        <f>H3*2</f>
        <v>3.6863999999999999</v>
      </c>
      <c r="I4" s="96">
        <f>H3*12</f>
        <v>22.118400000000001</v>
      </c>
      <c r="J4" s="97">
        <f>H3*22</f>
        <v>40.550399999999996</v>
      </c>
      <c r="L4" s="60"/>
      <c r="M4" s="18"/>
      <c r="N4" s="61" t="s">
        <v>24</v>
      </c>
      <c r="O4" s="5"/>
      <c r="P4" s="62"/>
    </row>
    <row r="5" spans="1:44" ht="14.25" thickBot="1" x14ac:dyDescent="0.2">
      <c r="C5" s="24">
        <f>9.8304*4</f>
        <v>39.321599999999997</v>
      </c>
      <c r="D5" s="2" t="s">
        <v>0</v>
      </c>
      <c r="E5" s="10" t="s">
        <v>144</v>
      </c>
      <c r="F5" s="24">
        <v>4</v>
      </c>
      <c r="G5" s="2" t="s">
        <v>0</v>
      </c>
      <c r="H5" s="95">
        <f>H3*3</f>
        <v>5.5296000000000003</v>
      </c>
      <c r="I5" s="96">
        <f>H3*13</f>
        <v>23.961600000000001</v>
      </c>
      <c r="J5" s="97">
        <f>H3*23</f>
        <v>42.393599999999999</v>
      </c>
      <c r="L5" s="60"/>
      <c r="M5" s="63" t="s">
        <v>23</v>
      </c>
      <c r="N5" s="61" t="s">
        <v>25</v>
      </c>
      <c r="O5" s="5"/>
      <c r="P5" s="62"/>
    </row>
    <row r="6" spans="1:44" ht="14.25" thickBot="1" x14ac:dyDescent="0.2">
      <c r="C6" s="24">
        <f>40.5504</f>
        <v>40.550400000000003</v>
      </c>
      <c r="D6" s="2" t="s">
        <v>0</v>
      </c>
      <c r="E6" s="10" t="s">
        <v>146</v>
      </c>
      <c r="F6" s="24">
        <v>2</v>
      </c>
      <c r="G6" s="2" t="s">
        <v>0</v>
      </c>
      <c r="H6" s="95">
        <f>H3*4</f>
        <v>7.3727999999999998</v>
      </c>
      <c r="I6" s="96">
        <f>H3*14</f>
        <v>25.8048</v>
      </c>
      <c r="J6" s="97">
        <f>H3*24</f>
        <v>44.236800000000002</v>
      </c>
      <c r="L6" s="60"/>
      <c r="M6" s="64"/>
      <c r="N6" s="61" t="s">
        <v>29</v>
      </c>
      <c r="O6" s="5"/>
      <c r="P6" s="62"/>
    </row>
    <row r="7" spans="1:44" ht="14.25" thickBot="1" x14ac:dyDescent="0.2">
      <c r="D7" s="2"/>
      <c r="E7" s="10" t="s">
        <v>144</v>
      </c>
      <c r="F7" s="24">
        <v>1</v>
      </c>
      <c r="G7" s="2" t="s">
        <v>0</v>
      </c>
      <c r="H7" s="95">
        <f>H3*5</f>
        <v>9.2159999999999993</v>
      </c>
      <c r="I7" s="96">
        <f>H3*15</f>
        <v>27.648</v>
      </c>
      <c r="J7" s="97">
        <f>H3*25</f>
        <v>46.08</v>
      </c>
      <c r="L7" s="65"/>
      <c r="M7" s="66"/>
      <c r="N7" s="61" t="s">
        <v>70</v>
      </c>
      <c r="O7" s="5"/>
      <c r="P7" s="62"/>
    </row>
    <row r="8" spans="1:44" ht="14.25" thickBot="1" x14ac:dyDescent="0.2">
      <c r="B8" s="55" t="s">
        <v>143</v>
      </c>
      <c r="C8" s="24">
        <f>40.5504</f>
        <v>40.550400000000003</v>
      </c>
      <c r="D8" s="2" t="s">
        <v>0</v>
      </c>
      <c r="E8" s="10" t="s">
        <v>144</v>
      </c>
      <c r="F8" s="24">
        <v>0.5</v>
      </c>
      <c r="G8" s="2" t="s">
        <v>0</v>
      </c>
      <c r="H8" s="95">
        <f>H3*6</f>
        <v>11.059200000000001</v>
      </c>
      <c r="I8" s="96">
        <f>H3*16</f>
        <v>29.491199999999999</v>
      </c>
      <c r="J8" s="97">
        <f>H3*26</f>
        <v>47.923200000000001</v>
      </c>
      <c r="L8" s="67"/>
      <c r="M8" s="68"/>
      <c r="N8" s="68"/>
      <c r="O8" s="68"/>
      <c r="P8" s="69"/>
    </row>
    <row r="9" spans="1:44" ht="14.25" thickBot="1" x14ac:dyDescent="0.2">
      <c r="C9">
        <f>C8*1000*1000</f>
        <v>40550400</v>
      </c>
      <c r="D9" s="2" t="s">
        <v>1</v>
      </c>
      <c r="E9" s="10" t="s">
        <v>144</v>
      </c>
      <c r="F9" s="24">
        <v>0.25</v>
      </c>
      <c r="G9" s="2" t="s">
        <v>0</v>
      </c>
      <c r="H9" s="95">
        <f>H3*7</f>
        <v>12.9024</v>
      </c>
      <c r="I9" s="96">
        <f>H3*17</f>
        <v>31.334399999999999</v>
      </c>
      <c r="J9" s="97">
        <f>H3*27</f>
        <v>49.766399999999997</v>
      </c>
      <c r="AA9" s="47" t="s">
        <v>98</v>
      </c>
      <c r="AB9" s="55" t="str">
        <f>"SFR   "</f>
        <v xml:space="preserve">SFR   </v>
      </c>
      <c r="AC9" s="55" t="str">
        <f>"+0"</f>
        <v>+0</v>
      </c>
      <c r="AD9" s="55" t="str">
        <f>"+1"</f>
        <v>+1</v>
      </c>
      <c r="AE9" s="55" t="str">
        <f>"+2"</f>
        <v>+2</v>
      </c>
      <c r="AF9" s="55" t="str">
        <f>"+3"</f>
        <v>+3</v>
      </c>
      <c r="AG9" s="55" t="str">
        <f>"+4"</f>
        <v>+4</v>
      </c>
      <c r="AH9" s="55" t="str">
        <f>"+5"</f>
        <v>+5</v>
      </c>
      <c r="AI9" s="55" t="str">
        <f>"+6"</f>
        <v>+6</v>
      </c>
      <c r="AJ9" s="55" t="str">
        <f>"+7"</f>
        <v>+7</v>
      </c>
      <c r="AK9" s="55" t="str">
        <f>"+8"</f>
        <v>+8</v>
      </c>
      <c r="AL9" s="55" t="str">
        <f>"+9"</f>
        <v>+9</v>
      </c>
      <c r="AM9" s="55" t="str">
        <f>"+A"</f>
        <v>+A</v>
      </c>
      <c r="AN9" s="55" t="str">
        <f>"+B"</f>
        <v>+B</v>
      </c>
      <c r="AO9" s="55" t="str">
        <f>"+C"</f>
        <v>+C</v>
      </c>
      <c r="AP9" s="55" t="str">
        <f>"+D"</f>
        <v>+D</v>
      </c>
      <c r="AQ9" s="55" t="str">
        <f>"+E"</f>
        <v>+E</v>
      </c>
      <c r="AR9" s="55" t="str">
        <f>"+F"</f>
        <v>+F</v>
      </c>
    </row>
    <row r="10" spans="1:44" ht="14.25" thickBot="1" x14ac:dyDescent="0.2">
      <c r="E10" s="10" t="s">
        <v>144</v>
      </c>
      <c r="F10" s="24">
        <v>0.125</v>
      </c>
      <c r="G10" s="2" t="s">
        <v>0</v>
      </c>
      <c r="H10" s="95">
        <f>H3*8</f>
        <v>14.7456</v>
      </c>
      <c r="I10" s="96">
        <f>H3*18</f>
        <v>33.177599999999998</v>
      </c>
      <c r="J10" s="97">
        <f>H3*28</f>
        <v>51.6096</v>
      </c>
      <c r="V10" s="47" t="s">
        <v>99</v>
      </c>
      <c r="W10" s="76" t="s">
        <v>101</v>
      </c>
      <c r="X10" s="83" t="str">
        <f>IF(AC24="■","使用する","OFF")</f>
        <v>使用する</v>
      </c>
      <c r="AA10" s="82"/>
      <c r="AB10" s="80" t="str">
        <f>"0F60  "</f>
        <v xml:space="preserve">0F60  </v>
      </c>
      <c r="AC10" s="1" t="str">
        <f t="shared" ref="AC10:AC19" si="0">MID(AA10,0*3+7,2)</f>
        <v/>
      </c>
      <c r="AD10" s="1" t="str">
        <f t="shared" ref="AD10:AD19" si="1">MID(AA10,1*3+7,2)</f>
        <v/>
      </c>
      <c r="AE10" s="1" t="str">
        <f t="shared" ref="AE10:AE19" si="2">MID(AA10,2*3+7,2)</f>
        <v/>
      </c>
      <c r="AF10" s="1" t="str">
        <f t="shared" ref="AF10:AF19" si="3">MID(AA10,3*3+7,2)</f>
        <v/>
      </c>
      <c r="AG10" s="1" t="str">
        <f t="shared" ref="AG10:AG19" si="4">MID(AA10,4*3+7,2)</f>
        <v/>
      </c>
      <c r="AH10" s="1" t="str">
        <f t="shared" ref="AH10:AH19" si="5">MID(AA10,5*3+7,2)</f>
        <v/>
      </c>
      <c r="AI10" s="1" t="str">
        <f t="shared" ref="AI10:AI19" si="6">MID(AA10,6*3+7,2)</f>
        <v/>
      </c>
      <c r="AJ10" s="1" t="str">
        <f t="shared" ref="AJ10:AJ19" si="7">MID(AA10,7*3+7,2)</f>
        <v/>
      </c>
      <c r="AK10" s="1" t="str">
        <f t="shared" ref="AK10:AK19" si="8">MID(AA10,8*3+8,2)</f>
        <v/>
      </c>
      <c r="AL10" s="1" t="str">
        <f t="shared" ref="AL10:AL19" si="9">MID(AA10,9*3+8,2)</f>
        <v/>
      </c>
      <c r="AM10" s="1" t="str">
        <f t="shared" ref="AM10:AM19" si="10">MID(AA10,10*3+8,2)</f>
        <v/>
      </c>
      <c r="AN10" s="1" t="str">
        <f t="shared" ref="AN10:AN19" si="11">MID(AA10,11*3+8,2)</f>
        <v/>
      </c>
      <c r="AO10" s="1" t="str">
        <f t="shared" ref="AO10:AO19" si="12">MID(AA10,12*3+8,2)</f>
        <v/>
      </c>
      <c r="AP10" s="1" t="str">
        <f t="shared" ref="AP10:AP19" si="13">MID(AA10,13*3+8,2)</f>
        <v/>
      </c>
      <c r="AQ10" s="1" t="str">
        <f t="shared" ref="AQ10:AQ19" si="14">MID(AA10,14*3+8,2)</f>
        <v/>
      </c>
      <c r="AR10" s="1" t="str">
        <f t="shared" ref="AR10:AR19" si="15">MID(AA10,15*3+8,2)</f>
        <v/>
      </c>
    </row>
    <row r="11" spans="1:44" ht="14.25" thickBot="1" x14ac:dyDescent="0.2">
      <c r="E11" s="10" t="s">
        <v>144</v>
      </c>
      <c r="F11" s="24">
        <v>3.125E-2</v>
      </c>
      <c r="G11" s="2" t="s">
        <v>0</v>
      </c>
      <c r="H11" s="95">
        <f>H3*9</f>
        <v>16.588799999999999</v>
      </c>
      <c r="I11" s="96">
        <f>H3*19</f>
        <v>35.020800000000001</v>
      </c>
      <c r="J11" s="97">
        <f>H3*29</f>
        <v>53.452799999999996</v>
      </c>
      <c r="V11" s="47" t="s">
        <v>115</v>
      </c>
      <c r="W11" s="76" t="s">
        <v>103</v>
      </c>
      <c r="X11" s="27" t="str">
        <f>IF(AH25="","", IF(AE25="",IF(X10="OFF","request hi",IF(AH26="","request low","request hi")),IF(X10="OFF","call ir_high",IF(AH26="","call ir_low","call ir_high"))))</f>
        <v/>
      </c>
      <c r="AA11" s="81"/>
      <c r="AB11" s="80" t="str">
        <f>"0F70  "</f>
        <v xml:space="preserve">0F70  </v>
      </c>
      <c r="AC11" s="1" t="str">
        <f t="shared" si="0"/>
        <v/>
      </c>
      <c r="AD11" s="1" t="str">
        <f t="shared" si="1"/>
        <v/>
      </c>
      <c r="AE11" s="1" t="str">
        <f t="shared" si="2"/>
        <v/>
      </c>
      <c r="AF11" s="1" t="str">
        <f t="shared" si="3"/>
        <v/>
      </c>
      <c r="AG11" s="1" t="str">
        <f t="shared" si="4"/>
        <v/>
      </c>
      <c r="AH11" s="1" t="str">
        <f t="shared" si="5"/>
        <v/>
      </c>
      <c r="AI11" s="1" t="str">
        <f t="shared" si="6"/>
        <v/>
      </c>
      <c r="AJ11" s="1" t="str">
        <f t="shared" si="7"/>
        <v/>
      </c>
      <c r="AK11" s="1" t="str">
        <f t="shared" si="8"/>
        <v/>
      </c>
      <c r="AL11" s="1" t="str">
        <f t="shared" si="9"/>
        <v/>
      </c>
      <c r="AM11" s="1" t="str">
        <f t="shared" si="10"/>
        <v/>
      </c>
      <c r="AN11" s="1" t="str">
        <f t="shared" si="11"/>
        <v/>
      </c>
      <c r="AO11" s="1" t="str">
        <f t="shared" si="12"/>
        <v/>
      </c>
      <c r="AP11" s="1" t="str">
        <f t="shared" si="13"/>
        <v/>
      </c>
      <c r="AQ11" s="1" t="str">
        <f t="shared" si="14"/>
        <v/>
      </c>
      <c r="AR11" s="1" t="str">
        <f t="shared" si="15"/>
        <v/>
      </c>
    </row>
    <row r="12" spans="1:44" ht="14.25" thickBot="1" x14ac:dyDescent="0.2">
      <c r="H12" s="98">
        <f>H3*10</f>
        <v>18.431999999999999</v>
      </c>
      <c r="I12" s="99">
        <f>H3*20</f>
        <v>36.863999999999997</v>
      </c>
      <c r="J12" s="100">
        <f>H3*30</f>
        <v>55.295999999999999</v>
      </c>
      <c r="V12" s="10"/>
      <c r="W12" s="76" t="s">
        <v>104</v>
      </c>
      <c r="X12" s="27" t="str">
        <f>IF(AI25="","-", IF(AF25="","request hi","call ir_high"))</f>
        <v>request hi</v>
      </c>
      <c r="AA12" s="74" t="s">
        <v>152</v>
      </c>
      <c r="AB12" s="1" t="str">
        <f t="shared" ref="AB12:AB19" si="16">MID(AA12,1,6)</f>
        <v xml:space="preserve">0F80  </v>
      </c>
      <c r="AC12" s="1" t="str">
        <f t="shared" si="0"/>
        <v>00</v>
      </c>
      <c r="AD12" s="1" t="str">
        <f t="shared" si="1"/>
        <v>32</v>
      </c>
      <c r="AE12" s="1" t="str">
        <f t="shared" si="2"/>
        <v>DC</v>
      </c>
      <c r="AF12" s="1" t="str">
        <f t="shared" si="3"/>
        <v>49</v>
      </c>
      <c r="AG12" s="1" t="str">
        <f t="shared" si="4"/>
        <v>05</v>
      </c>
      <c r="AH12" s="1" t="str">
        <f t="shared" si="5"/>
        <v>00</v>
      </c>
      <c r="AI12" s="1" t="str">
        <f t="shared" si="6"/>
        <v>00</v>
      </c>
      <c r="AJ12" s="1" t="str">
        <f t="shared" si="7"/>
        <v>00</v>
      </c>
      <c r="AK12" s="1" t="str">
        <f t="shared" si="8"/>
        <v>00</v>
      </c>
      <c r="AL12" s="1" t="str">
        <f t="shared" si="9"/>
        <v>00</v>
      </c>
      <c r="AM12" s="1" t="str">
        <f t="shared" si="10"/>
        <v>F0</v>
      </c>
      <c r="AN12" s="1" t="str">
        <f t="shared" si="11"/>
        <v>DC</v>
      </c>
      <c r="AO12" s="1" t="str">
        <f t="shared" si="12"/>
        <v>49</v>
      </c>
      <c r="AP12" s="1" t="str">
        <f t="shared" si="13"/>
        <v>00</v>
      </c>
      <c r="AQ12" s="1" t="str">
        <f t="shared" si="14"/>
        <v>00</v>
      </c>
      <c r="AR12" s="1" t="str">
        <f t="shared" si="15"/>
        <v>00</v>
      </c>
    </row>
    <row r="13" spans="1:44" x14ac:dyDescent="0.15">
      <c r="V13" s="10"/>
      <c r="W13" s="76" t="s">
        <v>105</v>
      </c>
      <c r="X13" s="27" t="str">
        <f>IF(AJ25="","-", IF(AG25="",IF(X10="OFF","request hi",IF(AJ26="","request low","request hi")),IF(X10="OFF","call ir_high",IF(AJ26="","call ir_low","call ir_high"))))</f>
        <v>-</v>
      </c>
      <c r="AA13" s="75" t="s">
        <v>153</v>
      </c>
      <c r="AB13" s="1" t="str">
        <f t="shared" si="16"/>
        <v xml:space="preserve">0F90  </v>
      </c>
      <c r="AC13" s="1" t="str">
        <f t="shared" si="0"/>
        <v>00</v>
      </c>
      <c r="AD13" s="1" t="str">
        <f t="shared" si="1"/>
        <v>00</v>
      </c>
      <c r="AE13" s="1" t="str">
        <f t="shared" si="2"/>
        <v>00</v>
      </c>
      <c r="AF13" s="1" t="str">
        <f t="shared" si="3"/>
        <v>8F</v>
      </c>
      <c r="AG13" s="1" t="str">
        <f t="shared" si="4"/>
        <v>93</v>
      </c>
      <c r="AH13" s="1" t="str">
        <f t="shared" si="5"/>
        <v>00</v>
      </c>
      <c r="AI13" s="1" t="str">
        <f t="shared" si="6"/>
        <v>05</v>
      </c>
      <c r="AJ13" s="1" t="str">
        <f t="shared" si="7"/>
        <v>00</v>
      </c>
      <c r="AK13" s="1" t="str">
        <f t="shared" si="8"/>
        <v>00</v>
      </c>
      <c r="AL13" s="1" t="str">
        <f t="shared" si="9"/>
        <v>00</v>
      </c>
      <c r="AM13" s="1" t="str">
        <f t="shared" si="10"/>
        <v>00</v>
      </c>
      <c r="AN13" s="1" t="str">
        <f t="shared" si="11"/>
        <v>00</v>
      </c>
      <c r="AO13" s="1" t="str">
        <f t="shared" si="12"/>
        <v>00</v>
      </c>
      <c r="AP13" s="1" t="str">
        <f t="shared" si="13"/>
        <v>20</v>
      </c>
      <c r="AQ13" s="1" t="str">
        <f t="shared" si="14"/>
        <v>30</v>
      </c>
      <c r="AR13" s="1" t="str">
        <f t="shared" si="15"/>
        <v>00</v>
      </c>
    </row>
    <row r="14" spans="1:44" x14ac:dyDescent="0.15">
      <c r="V14" s="47" t="s">
        <v>116</v>
      </c>
      <c r="W14" s="76" t="s">
        <v>42</v>
      </c>
      <c r="X14" s="27"/>
      <c r="AA14" s="75" t="s">
        <v>154</v>
      </c>
      <c r="AB14" s="1" t="str">
        <f t="shared" si="16"/>
        <v xml:space="preserve">0FA0  </v>
      </c>
      <c r="AC14" s="1" t="str">
        <f t="shared" si="0"/>
        <v>04</v>
      </c>
      <c r="AD14" s="1" t="str">
        <f t="shared" si="1"/>
        <v>00</v>
      </c>
      <c r="AE14" s="1" t="str">
        <f t="shared" si="2"/>
        <v>01</v>
      </c>
      <c r="AF14" s="1" t="str">
        <f t="shared" si="3"/>
        <v>00</v>
      </c>
      <c r="AG14" s="1" t="str">
        <f t="shared" si="4"/>
        <v>00</v>
      </c>
      <c r="AH14" s="1" t="str">
        <f t="shared" si="5"/>
        <v>00</v>
      </c>
      <c r="AI14" s="1" t="str">
        <f t="shared" si="6"/>
        <v>00</v>
      </c>
      <c r="AJ14" s="1" t="str">
        <f t="shared" si="7"/>
        <v>00</v>
      </c>
      <c r="AK14" s="1" t="str">
        <f t="shared" si="8"/>
        <v>00</v>
      </c>
      <c r="AL14" s="1" t="str">
        <f t="shared" si="9"/>
        <v>0A</v>
      </c>
      <c r="AM14" s="1" t="str">
        <f t="shared" si="10"/>
        <v>00</v>
      </c>
      <c r="AN14" s="1" t="str">
        <f t="shared" si="11"/>
        <v>90</v>
      </c>
      <c r="AO14" s="1" t="str">
        <f t="shared" si="12"/>
        <v>26</v>
      </c>
      <c r="AP14" s="1" t="str">
        <f t="shared" si="13"/>
        <v>20</v>
      </c>
      <c r="AQ14" s="1" t="str">
        <f t="shared" si="14"/>
        <v>61</v>
      </c>
      <c r="AR14" s="1" t="str">
        <f t="shared" si="15"/>
        <v>56</v>
      </c>
    </row>
    <row r="15" spans="1:44" x14ac:dyDescent="0.15">
      <c r="A15" s="10" t="s">
        <v>140</v>
      </c>
      <c r="B15" s="10" t="s">
        <v>50</v>
      </c>
      <c r="C15" s="10" t="s">
        <v>35</v>
      </c>
      <c r="D15" s="10"/>
      <c r="E15" s="10" t="s">
        <v>3</v>
      </c>
      <c r="F15" s="10" t="s">
        <v>38</v>
      </c>
      <c r="G15" s="10" t="s">
        <v>3</v>
      </c>
      <c r="H15" s="10"/>
      <c r="I15" s="10" t="s">
        <v>4</v>
      </c>
      <c r="J15" s="10"/>
      <c r="K15" s="29" t="s">
        <v>56</v>
      </c>
      <c r="L15" s="29" t="s">
        <v>47</v>
      </c>
      <c r="M15" s="10" t="s">
        <v>6</v>
      </c>
      <c r="O15" s="14" t="s">
        <v>33</v>
      </c>
      <c r="P15" s="10" t="s">
        <v>40</v>
      </c>
      <c r="Q15" s="10" t="s">
        <v>41</v>
      </c>
      <c r="R15" s="10" t="s">
        <v>51</v>
      </c>
      <c r="V15" s="10"/>
      <c r="W15" s="76" t="s">
        <v>106</v>
      </c>
      <c r="X15" s="27" t="str">
        <f>IF(AI27="","-", IF(AF27="",IF(X10="OFF","request hi",IF(AC27="","request low","request hi")),IF(X10="OFF","call ir_high",IF(AC27="","call ir_low","call ir_high"))))</f>
        <v>request hi</v>
      </c>
      <c r="AA15" s="75" t="s">
        <v>155</v>
      </c>
      <c r="AB15" s="1" t="str">
        <f t="shared" si="16"/>
        <v xml:space="preserve">0FB0  </v>
      </c>
      <c r="AC15" s="1" t="str">
        <f t="shared" si="0"/>
        <v>00</v>
      </c>
      <c r="AD15" s="1" t="str">
        <f t="shared" si="1"/>
        <v>88</v>
      </c>
      <c r="AE15" s="1" t="str">
        <f t="shared" si="2"/>
        <v>80</v>
      </c>
      <c r="AF15" s="1" t="str">
        <f t="shared" si="3"/>
        <v>00</v>
      </c>
      <c r="AG15" s="1" t="str">
        <f t="shared" si="4"/>
        <v>07</v>
      </c>
      <c r="AH15" s="1" t="str">
        <f t="shared" si="5"/>
        <v>00</v>
      </c>
      <c r="AI15" s="1" t="str">
        <f t="shared" si="6"/>
        <v>00</v>
      </c>
      <c r="AJ15" s="1" t="str">
        <f t="shared" si="7"/>
        <v>00</v>
      </c>
      <c r="AK15" s="1" t="str">
        <f t="shared" si="8"/>
        <v>48</v>
      </c>
      <c r="AL15" s="1" t="str">
        <f t="shared" si="9"/>
        <v>00</v>
      </c>
      <c r="AM15" s="1" t="str">
        <f t="shared" si="10"/>
        <v>0B</v>
      </c>
      <c r="AN15" s="1" t="str">
        <f t="shared" si="11"/>
        <v>0A</v>
      </c>
      <c r="AO15" s="1" t="str">
        <f t="shared" si="12"/>
        <v>01</v>
      </c>
      <c r="AP15" s="1" t="str">
        <f t="shared" si="13"/>
        <v>00</v>
      </c>
      <c r="AQ15" s="1" t="str">
        <f t="shared" si="14"/>
        <v>4A</v>
      </c>
      <c r="AR15" s="1" t="str">
        <f t="shared" si="15"/>
        <v>10</v>
      </c>
    </row>
    <row r="16" spans="1:44" x14ac:dyDescent="0.15">
      <c r="A16" t="s">
        <v>94</v>
      </c>
      <c r="B16" s="11">
        <f>115200/1000</f>
        <v>115.2</v>
      </c>
      <c r="C16" s="20">
        <f>$C$9</f>
        <v>40550400</v>
      </c>
      <c r="D16" s="2" t="s">
        <v>142</v>
      </c>
      <c r="E16" s="1" t="str">
        <f>CONCATENATE(DEC2HEX(C16/(B16*1000)/64-0.5,5),"H")</f>
        <v>00005H</v>
      </c>
      <c r="F16" s="1" t="str">
        <f>CONCATENATE(DEC2HEX(C16/(B16*1000)/16-0.5,5),"H")</f>
        <v>00015H</v>
      </c>
      <c r="G16" s="15">
        <f>C16/(64*(HEX2DEC(MID(E16,4,2))+1))/1000</f>
        <v>105.6</v>
      </c>
      <c r="H16" s="2" t="s">
        <v>39</v>
      </c>
      <c r="I16" s="15">
        <f>C16/(16*(HEX2DEC(MID(F16,4,2))+1))/1000</f>
        <v>115.2</v>
      </c>
      <c r="J16" s="2" t="s">
        <v>39</v>
      </c>
      <c r="K16" s="71" t="str">
        <f>IF(LEFT(R16,2)="00",RIGHT(R16,4),"-")</f>
        <v>015H</v>
      </c>
      <c r="L16" s="27" t="str">
        <f>IF(LEFT(R16,2)="00",IF( ABS(IF(P16="OVER 5%",99,P16)) &lt; ABS(IF(Q16="OVER 5%",99,Q16)),"Low","High"),"-")</f>
        <v>High</v>
      </c>
      <c r="M16" s="72">
        <f>IF(K16="-","-",IF(C16/(IF(L16="Low",64,16)*(HEX2DEC(MID(K16,2,2))+1))&gt;10000,C16/(IF(L16="Low",64,16)*(HEX2DEC(MID(K16,2,2))+1))/1000,C16/(IF(L16="Low",64,16)*(HEX2DEC(MID(K16,2,2))+1))))</f>
        <v>115.2</v>
      </c>
      <c r="N16" t="str">
        <f>IF(K16="-","bps",IF(C16/(IF(L16="Low",64,16)*(HEX2DEC(MID(K16,2,2))+1))&gt;10000,"Kbps","bps"))</f>
        <v>Kbps</v>
      </c>
      <c r="O16" s="13" t="str">
        <f>IF(M16="-","-",IF(ABS((M16*(IF(N16="Kbps",1000,1))-B16*1000)/B16*1000*100)&gt;0.1,CONCATENATE(FIXED(ABS((M16*(IF(N16="Kbps",1000,1))-B16*1000)/(B16*1000)*100),2),"%"),""))</f>
        <v/>
      </c>
      <c r="P16" s="22">
        <f>IF((G16-B16)/B16*100&gt;5,"OVER 5%",(G16-B16)/B16*100)</f>
        <v>-8.333333333333341</v>
      </c>
      <c r="Q16" s="23">
        <f>IF((I16-B16)/B16*100&gt;5,"OVER 5%",(I16-B16)/B16*100)</f>
        <v>0</v>
      </c>
      <c r="R16" s="1" t="str">
        <f>IF( ABS(IF(P16="OVER 5%",99,P16)) &lt; ABS(IF(Q16="OVER 5%",99,Q16)),E16,F16)</f>
        <v>00015H</v>
      </c>
      <c r="V16" s="10"/>
      <c r="W16" s="76" t="s">
        <v>114</v>
      </c>
      <c r="X16" s="27" t="str">
        <f>IF(AJ27="","-", IF(AG27="",IF(X10="OFF","request hi",IF(AD27="","request low","request hi")),IF(X10="OFF","call ir_high",IF(AD27="","call ir_low","call ir_high"))))</f>
        <v>-</v>
      </c>
      <c r="AA16" s="75" t="s">
        <v>156</v>
      </c>
      <c r="AB16" s="1" t="str">
        <f t="shared" si="16"/>
        <v xml:space="preserve">0FC0  </v>
      </c>
      <c r="AC16" s="1" t="str">
        <f t="shared" si="0"/>
        <v>00</v>
      </c>
      <c r="AD16" s="1" t="str">
        <f t="shared" si="1"/>
        <v>0F</v>
      </c>
      <c r="AE16" s="1" t="str">
        <f t="shared" si="2"/>
        <v>00</v>
      </c>
      <c r="AF16" s="1" t="str">
        <f t="shared" si="3"/>
        <v>00</v>
      </c>
      <c r="AG16" s="1" t="str">
        <f t="shared" si="4"/>
        <v>00</v>
      </c>
      <c r="AH16" s="1" t="str">
        <f t="shared" si="5"/>
        <v>00</v>
      </c>
      <c r="AI16" s="1" t="str">
        <f t="shared" si="6"/>
        <v>31</v>
      </c>
      <c r="AJ16" s="1" t="str">
        <f t="shared" si="7"/>
        <v>00</v>
      </c>
      <c r="AK16" s="1" t="str">
        <f t="shared" si="8"/>
        <v>00</v>
      </c>
      <c r="AL16" s="1" t="str">
        <f t="shared" si="9"/>
        <v>00</v>
      </c>
      <c r="AM16" s="1" t="str">
        <f t="shared" si="10"/>
        <v>00</v>
      </c>
      <c r="AN16" s="1" t="str">
        <f t="shared" si="11"/>
        <v>FF</v>
      </c>
      <c r="AO16" s="1" t="str">
        <f t="shared" si="12"/>
        <v>00</v>
      </c>
      <c r="AP16" s="1" t="str">
        <f t="shared" si="13"/>
        <v>00</v>
      </c>
      <c r="AQ16" s="1" t="str">
        <f t="shared" si="14"/>
        <v>02</v>
      </c>
      <c r="AR16" s="1" t="str">
        <f t="shared" si="15"/>
        <v>10</v>
      </c>
    </row>
    <row r="17" spans="1:44" x14ac:dyDescent="0.15">
      <c r="A17" s="78" t="s">
        <v>141</v>
      </c>
      <c r="B17" s="11">
        <f>115200/1000</f>
        <v>115.2</v>
      </c>
      <c r="C17" s="20">
        <f>$C$9</f>
        <v>40550400</v>
      </c>
      <c r="D17" s="2" t="s">
        <v>142</v>
      </c>
      <c r="E17" s="1" t="str">
        <f>CONCATENATE(DEC2HEX(C17/B17/1000/16-0.5,5),"H")</f>
        <v>00015H</v>
      </c>
      <c r="F17" s="1" t="str">
        <f>CONCATENATE(DEC2HEX(C17/B17/1000/4-0.5,5),"H")</f>
        <v>00057H</v>
      </c>
      <c r="G17" s="15">
        <f>C17/(16*(HEX2DEC(MID(E17,2,4))+1))/1000</f>
        <v>115.2</v>
      </c>
      <c r="H17" s="2" t="s">
        <v>39</v>
      </c>
      <c r="I17" s="15">
        <f>C17/(4*(HEX2DEC(MID(F17,2,4))+1))/1000</f>
        <v>115.2</v>
      </c>
      <c r="J17" s="2" t="s">
        <v>39</v>
      </c>
      <c r="K17" s="71" t="str">
        <f>IF(LEFT(R17,1)="0",RIGHT(R17,6),"-")</f>
        <v>00057H</v>
      </c>
      <c r="L17" s="27" t="str">
        <f>IF(LEFT(R17,1)="0",IF( ABS(IF(P17="OVER 5%",99,P17)) &lt; ABS(IF(Q17="OVER 5%",99,Q17)),"Low","High"),"-")</f>
        <v>High</v>
      </c>
      <c r="M17" s="72">
        <f>IF(K17="-","-",IF(C17/(IF(L17="Low",16,4)*(HEX2DEC(MID(K17,2,4))+1))&gt;10000,C17/(IF(L17="Low",16,4)*(HEX2DEC(MID(K17,2,4))+1))/1000,C17/(IF(L17="Low",16,4)*(HEX2DEC(MID(K17,2,4))+1))))</f>
        <v>115.2</v>
      </c>
      <c r="N17" t="str">
        <f>IF(K17="-","bps",IF(C17/(IF(L17="Low",16,4)*(HEX2DEC(MID(K17,2,4))+1))&gt;10000,"Kbps","bps"))</f>
        <v>Kbps</v>
      </c>
      <c r="O17" s="13" t="str">
        <f>IF(M17="-","-",IF(ABS((M17*(IF(N17="Kbps",1000,1))-B17)/B17*100)&gt;0.1,CONCATENATE(FIXED(ABS((M17*(IF(N17="bps",1/1000,1))-B17)/B17*100),2),"%"),""))</f>
        <v>0.00%</v>
      </c>
      <c r="P17" s="22">
        <f>IF((G17-B17)/B17*100&gt;5,"OVER 5%",(G17-B17)/B17*100)</f>
        <v>0</v>
      </c>
      <c r="Q17" s="23">
        <f>IF((I17-B17)/B17*100&gt;5,"OVER 5%",(I17-B17)/B17*100)</f>
        <v>0</v>
      </c>
      <c r="R17" s="1" t="str">
        <f>IF( ABS(IF(P17="OVER 5%",99,P17)) &lt; ABS(IF(Q17="OVER 5%",99,Q17)),E17,F17)</f>
        <v>00057H</v>
      </c>
      <c r="V17" s="47" t="s">
        <v>117</v>
      </c>
      <c r="W17" s="76" t="s">
        <v>107</v>
      </c>
      <c r="X17" s="27" t="str">
        <f>IF(AC28="","-", IF(AC31="",IF(X10="OFF","request hi",IF(AC34="","request low","request hi")),IF(X10="OFF","call ir_high",IF(AC34="","call ir_low","call ir_high"))))</f>
        <v>-</v>
      </c>
      <c r="AA17" s="75" t="s">
        <v>157</v>
      </c>
      <c r="AB17" s="1" t="str">
        <f t="shared" si="16"/>
        <v xml:space="preserve">0FD0  </v>
      </c>
      <c r="AC17" s="1" t="str">
        <f t="shared" si="0"/>
        <v>9F</v>
      </c>
      <c r="AD17" s="1" t="str">
        <f t="shared" si="1"/>
        <v>00</v>
      </c>
      <c r="AE17" s="1" t="str">
        <f t="shared" si="2"/>
        <v>3E</v>
      </c>
      <c r="AF17" s="1" t="str">
        <f t="shared" si="3"/>
        <v>78</v>
      </c>
      <c r="AG17" s="1" t="str">
        <f t="shared" si="4"/>
        <v>00</v>
      </c>
      <c r="AH17" s="1" t="str">
        <f t="shared" si="5"/>
        <v>9F</v>
      </c>
      <c r="AI17" s="1" t="str">
        <f t="shared" si="6"/>
        <v>11</v>
      </c>
      <c r="AJ17" s="1" t="str">
        <f t="shared" si="7"/>
        <v>F5</v>
      </c>
      <c r="AK17" s="1" t="str">
        <f t="shared" si="8"/>
        <v>00</v>
      </c>
      <c r="AL17" s="1" t="str">
        <f t="shared" si="9"/>
        <v>36</v>
      </c>
      <c r="AM17" s="1" t="str">
        <f t="shared" si="10"/>
        <v>0D</v>
      </c>
      <c r="AN17" s="1" t="str">
        <f t="shared" si="11"/>
        <v>00</v>
      </c>
      <c r="AO17" s="1" t="str">
        <f t="shared" si="12"/>
        <v>00</v>
      </c>
      <c r="AP17" s="1" t="str">
        <f t="shared" si="13"/>
        <v>00</v>
      </c>
      <c r="AQ17" s="1" t="str">
        <f t="shared" si="14"/>
        <v>00</v>
      </c>
      <c r="AR17" s="1" t="str">
        <f t="shared" si="15"/>
        <v>00</v>
      </c>
    </row>
    <row r="18" spans="1:44" x14ac:dyDescent="0.15">
      <c r="V18" s="10"/>
      <c r="W18" s="76" t="s">
        <v>102</v>
      </c>
      <c r="X18" s="27" t="str">
        <f>IF(AD28="","-", IF(AD31="",IF(X10="OFF","request hi",IF(AD34="","request low","request hi")),IF(X10="OFF","call ir_high",IF(AD34="","call ir_low","call ir_high"))))</f>
        <v>-</v>
      </c>
      <c r="AA18" s="75" t="s">
        <v>158</v>
      </c>
      <c r="AB18" s="1" t="str">
        <f t="shared" si="16"/>
        <v xml:space="preserve">0FE0  </v>
      </c>
      <c r="AC18" s="1" t="str">
        <f t="shared" si="0"/>
        <v>0A</v>
      </c>
      <c r="AD18" s="1" t="str">
        <f t="shared" si="1"/>
        <v>39</v>
      </c>
      <c r="AE18" s="1" t="str">
        <f t="shared" si="2"/>
        <v>0D</v>
      </c>
      <c r="AF18" s="1" t="str">
        <f t="shared" si="3"/>
        <v>00</v>
      </c>
      <c r="AG18" s="1" t="str">
        <f t="shared" si="4"/>
        <v>00</v>
      </c>
      <c r="AH18" s="1" t="str">
        <f t="shared" si="5"/>
        <v>00</v>
      </c>
      <c r="AI18" s="1" t="str">
        <f t="shared" si="6"/>
        <v>00</v>
      </c>
      <c r="AJ18" s="1" t="str">
        <f t="shared" si="7"/>
        <v>00</v>
      </c>
      <c r="AK18" s="1" t="str">
        <f t="shared" si="8"/>
        <v>01</v>
      </c>
      <c r="AL18" s="1" t="str">
        <f t="shared" si="9"/>
        <v>28</v>
      </c>
      <c r="AM18" s="1" t="str">
        <f t="shared" si="10"/>
        <v>00</v>
      </c>
      <c r="AN18" s="1" t="str">
        <f t="shared" si="11"/>
        <v>00</v>
      </c>
      <c r="AO18" s="1" t="str">
        <f t="shared" si="12"/>
        <v>00</v>
      </c>
      <c r="AP18" s="1" t="str">
        <f t="shared" si="13"/>
        <v>00</v>
      </c>
      <c r="AQ18" s="1" t="str">
        <f t="shared" si="14"/>
        <v>00</v>
      </c>
      <c r="AR18" s="1" t="str">
        <f t="shared" si="15"/>
        <v>00</v>
      </c>
    </row>
    <row r="19" spans="1:44" ht="14.25" thickBot="1" x14ac:dyDescent="0.2">
      <c r="B19" s="10" t="s">
        <v>26</v>
      </c>
      <c r="C19" s="10" t="s">
        <v>34</v>
      </c>
      <c r="D19" s="2"/>
      <c r="E19" s="1" t="s">
        <v>19</v>
      </c>
      <c r="F19" s="1" t="s">
        <v>18</v>
      </c>
      <c r="G19" s="10" t="s">
        <v>15</v>
      </c>
      <c r="I19" s="10" t="s">
        <v>32</v>
      </c>
      <c r="K19" s="10" t="s">
        <v>7</v>
      </c>
      <c r="L19" s="28" t="s">
        <v>53</v>
      </c>
      <c r="M19" s="10" t="s">
        <v>6</v>
      </c>
      <c r="O19" s="14" t="s">
        <v>33</v>
      </c>
      <c r="V19" s="10"/>
      <c r="W19" s="76" t="s">
        <v>108</v>
      </c>
      <c r="X19" s="27" t="str">
        <f>IF(AE28="","-", IF(AE31="",IF(X10="OFF","request hi",IF(AE34="","request low","request hi")),IF(X10="OFF","call ir_high",IF(AE34="","call ir_low","call ir_high"))))</f>
        <v>call ir_low</v>
      </c>
      <c r="AA19" s="73" t="s">
        <v>159</v>
      </c>
      <c r="AB19" s="1" t="str">
        <f t="shared" si="16"/>
        <v xml:space="preserve">0FF0  </v>
      </c>
      <c r="AC19" s="1" t="str">
        <f t="shared" si="0"/>
        <v>CA</v>
      </c>
      <c r="AD19" s="1" t="str">
        <f t="shared" si="1"/>
        <v>90</v>
      </c>
      <c r="AE19" s="1" t="str">
        <f t="shared" si="2"/>
        <v>A2</v>
      </c>
      <c r="AF19" s="1" t="str">
        <f t="shared" si="3"/>
        <v>23</v>
      </c>
      <c r="AG19" s="1" t="str">
        <f t="shared" si="4"/>
        <v>00</v>
      </c>
      <c r="AH19" s="1" t="str">
        <f t="shared" si="5"/>
        <v>89</v>
      </c>
      <c r="AI19" s="1" t="str">
        <f t="shared" si="6"/>
        <v>E8</v>
      </c>
      <c r="AJ19" s="1" t="str">
        <f t="shared" si="7"/>
        <v>E5</v>
      </c>
      <c r="AK19" s="1" t="str">
        <f t="shared" si="8"/>
        <v>00</v>
      </c>
      <c r="AL19" s="1" t="str">
        <f t="shared" si="9"/>
        <v>00</v>
      </c>
      <c r="AM19" s="1" t="str">
        <f t="shared" si="10"/>
        <v>3A</v>
      </c>
      <c r="AN19" s="1" t="str">
        <f t="shared" si="11"/>
        <v>00</v>
      </c>
      <c r="AO19" s="1" t="str">
        <f t="shared" si="12"/>
        <v>0D</v>
      </c>
      <c r="AP19" s="1" t="str">
        <f t="shared" si="13"/>
        <v>00</v>
      </c>
      <c r="AQ19" s="1" t="str">
        <f t="shared" si="14"/>
        <v>00</v>
      </c>
      <c r="AR19" s="1" t="str">
        <f t="shared" si="15"/>
        <v>00</v>
      </c>
    </row>
    <row r="20" spans="1:44" ht="14.25" thickBot="1" x14ac:dyDescent="0.2">
      <c r="B20" s="49" t="s">
        <v>77</v>
      </c>
      <c r="C20" s="12">
        <f t="shared" ref="C20:C29" si="17">$C$8/4</f>
        <v>10.137600000000001</v>
      </c>
      <c r="D20" s="2" t="s">
        <v>0</v>
      </c>
      <c r="E20" s="19">
        <v>1</v>
      </c>
      <c r="F20" s="11">
        <v>1</v>
      </c>
      <c r="G20" s="19">
        <v>1</v>
      </c>
      <c r="H20" s="2" t="s">
        <v>5</v>
      </c>
      <c r="I20" s="16">
        <f>1/G20</f>
        <v>1</v>
      </c>
      <c r="J20" t="s">
        <v>14</v>
      </c>
      <c r="K20" s="1" t="str">
        <f>CONCATENATE(DEC2HEX(G20*1000/(1/C20*E20*F20) + 0.5,5),"H")</f>
        <v>0279AH</v>
      </c>
      <c r="L20" s="26" t="str">
        <f>CONCATENATE(DEC2HEX(65536-HEX2DEC(MID(K20,2,4)),5),"H")</f>
        <v>0D866H</v>
      </c>
      <c r="M20" s="9">
        <f>1/C20*E20*F20*HEX2DEC(MID(K20,2,4))/1000</f>
        <v>1.000039457070707</v>
      </c>
      <c r="N20" s="2" t="s">
        <v>5</v>
      </c>
      <c r="O20" s="13" t="str">
        <f t="shared" ref="O20:O29" si="18">IF(ABS((M20-G20)/G20*100)&gt;0.1,CONCATENATE(FIXED(ABS((M20-G20)/G20*100),2),"%"),"")</f>
        <v/>
      </c>
      <c r="V20" s="10"/>
      <c r="W20" s="76" t="s">
        <v>109</v>
      </c>
      <c r="X20" s="27" t="str">
        <f>IF(AF28="","-", IF(AF31="",IF(X10="OFF","request hi",IF(AF34="","request low","request hi")),IF(X10="OFF","call ir_high",IF(AF34="","call ir_low","call ir_high"))))</f>
        <v>request low</v>
      </c>
    </row>
    <row r="21" spans="1:44" ht="14.25" thickBot="1" x14ac:dyDescent="0.2">
      <c r="B21" t="s">
        <v>10</v>
      </c>
      <c r="C21" s="12">
        <f t="shared" si="17"/>
        <v>10.137600000000001</v>
      </c>
      <c r="D21" s="2" t="s">
        <v>0</v>
      </c>
      <c r="E21" s="19">
        <v>256</v>
      </c>
      <c r="F21" s="11">
        <v>1</v>
      </c>
      <c r="G21" s="19">
        <v>5</v>
      </c>
      <c r="H21" s="2" t="s">
        <v>11</v>
      </c>
      <c r="I21" s="16">
        <f>1/G21</f>
        <v>0.2</v>
      </c>
      <c r="J21" t="s">
        <v>14</v>
      </c>
      <c r="K21" s="1" t="str">
        <f>CONCATENATE(DEC2HEX(G21*1000/(1/C21*E21*F21) + 0.5,5),"H")</f>
        <v>000C6H</v>
      </c>
      <c r="L21" s="26" t="str">
        <f>CONCATENATE(DEC2HEX(256-HEX2DEC(MID(K21,4,2)),3),"H")</f>
        <v>03AH</v>
      </c>
      <c r="M21" s="9">
        <f>1/C21*E21*F21*HEX2DEC(MID(K21,4,2))/1000</f>
        <v>4.9999999999999991</v>
      </c>
      <c r="N21" s="2" t="s">
        <v>5</v>
      </c>
      <c r="O21" s="13" t="str">
        <f>IF(ABS((M21-G21)/G21*100)&gt;0.1,CONCATENATE(FIXED(ABS((M21-G21)/G21*100),2),"%"),"")</f>
        <v/>
      </c>
      <c r="V21" s="10"/>
      <c r="W21" s="76" t="s">
        <v>110</v>
      </c>
      <c r="X21" s="27" t="str">
        <f>IF(AG28="","-", IF(AG31="",IF(X10="OFF","request hi",IF(AG34="","request low","request hi")),IF(X10="OFF","call ir_high",IF(AG34="","call ir_low","call ir_high"))))</f>
        <v>-</v>
      </c>
      <c r="AA21" s="47" t="s">
        <v>133</v>
      </c>
      <c r="AB21" s="10" t="str">
        <f>AK17</f>
        <v>00</v>
      </c>
      <c r="AC21" s="77" t="str">
        <f>IF(MID(HEX2BIN($AB21,8),1,1)="1","■","-")</f>
        <v>-</v>
      </c>
      <c r="AD21" s="77" t="str">
        <f>IF(MID(HEX2BIN($AB21,8),2,1)="1","■","-")</f>
        <v>-</v>
      </c>
      <c r="AE21" s="77" t="str">
        <f>IF(MID(HEX2BIN($AB21,8),3,1)="1","■","-")</f>
        <v>-</v>
      </c>
      <c r="AF21" s="90" t="str">
        <f>IF(MID(HEX2BIN($AB21,8),4,1)="1","N","")</f>
        <v/>
      </c>
      <c r="AG21" s="90" t="str">
        <f>IF(MID(HEX2BIN($AB21,8),5,1)="1","OV","")</f>
        <v/>
      </c>
      <c r="AH21" s="90" t="str">
        <f>IF(MID(HEX2BIN($AB21,8),6,1)="1","Z","")</f>
        <v/>
      </c>
      <c r="AI21" s="90" t="str">
        <f>IF(MID(HEX2BIN($AB21,8),7,1)="1","DC","")</f>
        <v/>
      </c>
      <c r="AJ21" s="90" t="str">
        <f>IF(MID(HEX2BIN($AB21,8),8,1)="1","C","")</f>
        <v/>
      </c>
    </row>
    <row r="22" spans="1:44" ht="14.25" thickBot="1" x14ac:dyDescent="0.2">
      <c r="B22" t="s">
        <v>8</v>
      </c>
      <c r="C22" s="12">
        <f t="shared" si="17"/>
        <v>10.137600000000001</v>
      </c>
      <c r="D22" s="2" t="s">
        <v>0</v>
      </c>
      <c r="E22" s="19">
        <v>1</v>
      </c>
      <c r="F22" s="11">
        <v>1</v>
      </c>
      <c r="G22" s="35">
        <v>9600</v>
      </c>
      <c r="H22" s="2" t="s">
        <v>2</v>
      </c>
      <c r="I22" s="15">
        <f>1000000/G22</f>
        <v>104.16666666666667</v>
      </c>
      <c r="J22" t="s">
        <v>30</v>
      </c>
      <c r="K22" s="1" t="str">
        <f>CONCATENATE(DEC2HEX((1000/G22)*1000/(1/C22*E22*F22) + 0.5,5),"H")</f>
        <v>00420H</v>
      </c>
      <c r="L22" s="26" t="str">
        <f>CONCATENATE(DEC2HEX(65536-HEX2DEC(MID(K22,2,4)),5),"H")</f>
        <v>0FBE0H</v>
      </c>
      <c r="M22" s="9">
        <f>1/(1/(C22*1000000)*E22*F22*HEX2DEC(MID(K22,2,4)))</f>
        <v>9600</v>
      </c>
      <c r="N22" s="2" t="s">
        <v>2</v>
      </c>
      <c r="O22" s="13" t="str">
        <f t="shared" si="18"/>
        <v/>
      </c>
      <c r="V22" s="10"/>
      <c r="W22" s="76" t="s">
        <v>111</v>
      </c>
      <c r="X22" s="27" t="str">
        <f>IF(AH28="","-", IF(AH31="",IF(X10="OFF","request hi",IF(AH34="","request low","request hi")),IF(X10="OFF","call ir_high",IF(AH34="","call ir_low","call ir_high"))))</f>
        <v>-</v>
      </c>
      <c r="AA22" s="47" t="s">
        <v>134</v>
      </c>
      <c r="AB22" s="10" t="str">
        <f>AK18</f>
        <v>01</v>
      </c>
    </row>
    <row r="23" spans="1:44" ht="14.25" thickBot="1" x14ac:dyDescent="0.2">
      <c r="B23" t="s">
        <v>12</v>
      </c>
      <c r="C23" s="12">
        <f t="shared" si="17"/>
        <v>10.137600000000001</v>
      </c>
      <c r="D23" s="2" t="s">
        <v>0</v>
      </c>
      <c r="E23" s="19">
        <v>8</v>
      </c>
      <c r="F23" s="11">
        <v>1</v>
      </c>
      <c r="G23" s="35">
        <v>8000</v>
      </c>
      <c r="H23" s="2" t="s">
        <v>2</v>
      </c>
      <c r="I23" s="15">
        <f>1000000/G23</f>
        <v>125</v>
      </c>
      <c r="J23" t="s">
        <v>30</v>
      </c>
      <c r="K23" s="1" t="str">
        <f>CONCATENATE(DEC2HEX((1000/G23)*1000/(1/C23*E23*F23) + 0.5,5),"H")</f>
        <v>0009EH</v>
      </c>
      <c r="L23" s="26" t="str">
        <f>CONCATENATE(DEC2HEX(256-HEX2DEC(MID(K23,4,2)),3),"H")</f>
        <v>062H</v>
      </c>
      <c r="M23" s="9">
        <f>1/(1/(C23*1000000)*E23*F23*IF(HEX2DEC(MID(K23,4,2))=0,256,HEX2DEC(MID(K23,4,2))))</f>
        <v>8020.2531645569625</v>
      </c>
      <c r="N23" s="2" t="s">
        <v>2</v>
      </c>
      <c r="O23" s="13" t="str">
        <f t="shared" si="18"/>
        <v>0.25%</v>
      </c>
      <c r="V23" s="10"/>
      <c r="W23" s="76" t="s">
        <v>112</v>
      </c>
      <c r="X23" s="27" t="str">
        <f>IF(AI28="","-", IF(AI31="",IF(X10="OFF","request hi",IF(AI34="","request low","request hi")),IF(X10="OFF","call ir_high",IF(AI34="","call ir_low","call ir_high"))))</f>
        <v>-</v>
      </c>
      <c r="AA23" s="78"/>
      <c r="AC23" s="10"/>
      <c r="AD23" s="10"/>
      <c r="AE23" s="10"/>
      <c r="AF23" s="10"/>
      <c r="AG23" s="10"/>
      <c r="AH23" s="10"/>
      <c r="AI23" s="10"/>
      <c r="AJ23" s="10"/>
    </row>
    <row r="24" spans="1:44" ht="14.25" thickBot="1" x14ac:dyDescent="0.2">
      <c r="B24" t="s">
        <v>13</v>
      </c>
      <c r="C24" s="12">
        <f t="shared" si="17"/>
        <v>10.137600000000001</v>
      </c>
      <c r="D24" s="2" t="s">
        <v>0</v>
      </c>
      <c r="E24" s="19">
        <v>1</v>
      </c>
      <c r="F24" s="18">
        <v>1</v>
      </c>
      <c r="G24" s="19">
        <v>200</v>
      </c>
      <c r="H24" s="2" t="s">
        <v>14</v>
      </c>
      <c r="I24" s="15">
        <f t="shared" ref="I24:I29" si="19">1000/G24</f>
        <v>5</v>
      </c>
      <c r="J24" t="s">
        <v>30</v>
      </c>
      <c r="K24" s="1" t="str">
        <f>CONCATENATE(DEC2HEX((1/G24)*1000/(1/C24*E24*F24) + 0.5-1,5),"H")</f>
        <v>00032H</v>
      </c>
      <c r="L24" s="26" t="str">
        <f>CONCATENATE(CONCATENATE("0",MID(K24,4,2)),"H")</f>
        <v>032H</v>
      </c>
      <c r="M24" s="38">
        <f>1/(1/(C24*1000)*E24*F24*IF(HEX2DEC(MID(L24,2,2))=0,0,HEX2DEC(MID(L24,2,2))+1))</f>
        <v>198.7764705882353</v>
      </c>
      <c r="N24" s="2" t="s">
        <v>14</v>
      </c>
      <c r="O24" s="13" t="str">
        <f t="shared" si="18"/>
        <v>0.61%</v>
      </c>
      <c r="W24" s="76" t="s">
        <v>113</v>
      </c>
      <c r="X24" s="27" t="str">
        <f>IF(AJ28="","-", IF(AJ31="",IF(X10="OFF","request hi",IF(AJ34="","request low","request hi")),IF(X10="OFF","call ir_high",IF(AJ34="","call ir_low","call ir_high"))))</f>
        <v>-</v>
      </c>
      <c r="Z24" s="10" t="s">
        <v>100</v>
      </c>
      <c r="AA24" s="79" t="s">
        <v>99</v>
      </c>
      <c r="AB24" s="27" t="str">
        <f>AC17</f>
        <v>9F</v>
      </c>
      <c r="AC24" s="84" t="str">
        <f t="shared" ref="AC24:AC29" si="20">IF(MID(HEX2BIN($AB24,8),1,1)="1","■","")</f>
        <v>■</v>
      </c>
      <c r="AD24" s="85" t="str">
        <f t="shared" ref="AD24:AD29" si="21">IF(MID(HEX2BIN($AB24,8),2,1)="1","■","")</f>
        <v/>
      </c>
      <c r="AE24" s="85" t="str">
        <f t="shared" ref="AE24:AE29" si="22">IF(MID(HEX2BIN($AB24,8),3,1)="1","■","")</f>
        <v/>
      </c>
      <c r="AF24" s="85" t="str">
        <f t="shared" ref="AF24:AF29" si="23">IF(MID(HEX2BIN($AB24,8),4,1)="1","■","")</f>
        <v>■</v>
      </c>
      <c r="AG24" s="87" t="str">
        <f t="shared" ref="AG24:AG29" si="24">IF(MID(HEX2BIN($AB24,8),5,1)="1","■","")</f>
        <v>■</v>
      </c>
      <c r="AH24" s="87" t="str">
        <f t="shared" ref="AH24:AH29" si="25">IF(MID(HEX2BIN($AB24,8),6,1)="1","■","")</f>
        <v>■</v>
      </c>
      <c r="AI24" s="87" t="str">
        <f t="shared" ref="AI24:AI29" si="26">IF(MID(HEX2BIN($AB24,8),7,1)="1","■","")</f>
        <v>■</v>
      </c>
      <c r="AJ24" s="87" t="str">
        <f t="shared" ref="AJ24:AJ29" si="27">IF(MID(HEX2BIN($AB24,8),8,1)="1","■","")</f>
        <v>■</v>
      </c>
    </row>
    <row r="25" spans="1:44" ht="14.25" thickBot="1" x14ac:dyDescent="0.2">
      <c r="B25" t="s">
        <v>13</v>
      </c>
      <c r="C25" s="12">
        <f t="shared" si="17"/>
        <v>10.137600000000001</v>
      </c>
      <c r="D25" s="2" t="s">
        <v>0</v>
      </c>
      <c r="E25" s="11">
        <f>E24</f>
        <v>1</v>
      </c>
      <c r="F25" s="11">
        <f>F24</f>
        <v>1</v>
      </c>
      <c r="G25" s="11">
        <f>G24</f>
        <v>200</v>
      </c>
      <c r="H25" s="2" t="s">
        <v>14</v>
      </c>
      <c r="I25" s="15">
        <f t="shared" si="19"/>
        <v>5</v>
      </c>
      <c r="J25" t="s">
        <v>30</v>
      </c>
      <c r="K25" s="35" t="str">
        <f>K24</f>
        <v>00032H</v>
      </c>
      <c r="L25" s="26" t="str">
        <f>CONCATENATE(IF(RIGHT(K25,1)="H",DEC2HEX(HEX2DEC(RIGHT(LEFT(K25,LEN(K25)-1),2)),3),IF(RIGHT(K25,1)="h",DEC2HEX(HEX2DEC(RIGHT(LEFT(K25,LEN(K25)-1),2)),3),CONCATENATE("0",RIGHT(DEC2HEX(K25,3),2)))),"H")</f>
        <v>032H</v>
      </c>
      <c r="M25" s="36">
        <f>1/(1/(C25*1000)*E25*F25*IF(HEX2DEC(MID(L25,2,2))=0,0,HEX2DEC(MID(L25,2,2))+1))</f>
        <v>198.7764705882353</v>
      </c>
      <c r="N25" s="2" t="s">
        <v>14</v>
      </c>
      <c r="O25" s="13" t="str">
        <f t="shared" si="18"/>
        <v>0.61%</v>
      </c>
      <c r="V25" s="47" t="s">
        <v>118</v>
      </c>
      <c r="W25" s="76" t="s">
        <v>120</v>
      </c>
      <c r="X25" s="27" t="str">
        <f>IF(AC29="","-", IF(AC32="",IF(X10="OFF","request hi",IF(AC35="","request low","request hi")),IF(X10="OFF","call ir_high",IF(AC35="","call ir_low","call ir_high"))))</f>
        <v>-</v>
      </c>
      <c r="AA25" s="79" t="s">
        <v>115</v>
      </c>
      <c r="AB25" s="27" t="str">
        <f>AE19</f>
        <v>A2</v>
      </c>
      <c r="AC25" s="87" t="str">
        <f t="shared" si="20"/>
        <v>■</v>
      </c>
      <c r="AD25" s="87" t="str">
        <f t="shared" si="21"/>
        <v/>
      </c>
      <c r="AE25" s="87" t="str">
        <f t="shared" si="22"/>
        <v>■</v>
      </c>
      <c r="AF25" s="87" t="str">
        <f t="shared" si="23"/>
        <v/>
      </c>
      <c r="AG25" s="85" t="str">
        <f t="shared" si="24"/>
        <v/>
      </c>
      <c r="AH25" s="84" t="str">
        <f t="shared" si="25"/>
        <v/>
      </c>
      <c r="AI25" s="84" t="str">
        <f t="shared" si="26"/>
        <v>■</v>
      </c>
      <c r="AJ25" s="84" t="str">
        <f t="shared" si="27"/>
        <v/>
      </c>
    </row>
    <row r="26" spans="1:44" ht="14.25" thickBot="1" x14ac:dyDescent="0.2">
      <c r="B26" t="s">
        <v>16</v>
      </c>
      <c r="C26" s="12">
        <f t="shared" si="17"/>
        <v>10.137600000000001</v>
      </c>
      <c r="D26" s="2" t="s">
        <v>0</v>
      </c>
      <c r="E26" s="19">
        <v>1</v>
      </c>
      <c r="F26" s="11">
        <v>1</v>
      </c>
      <c r="G26" s="19">
        <f>10/3</f>
        <v>3.3333333333333335</v>
      </c>
      <c r="H26" s="2" t="s">
        <v>5</v>
      </c>
      <c r="I26" s="15">
        <f t="shared" si="19"/>
        <v>300</v>
      </c>
      <c r="J26" s="2" t="s">
        <v>2</v>
      </c>
      <c r="K26" s="1" t="str">
        <f>CONCATENATE(DEC2HEX(G26*1000/(1/C26*E26*F26) + 0.5,5),"H")</f>
        <v>08400H</v>
      </c>
      <c r="L26" s="26" t="str">
        <f>CONCATENATE(DEC2HEX(65536-HEX2DEC(MID(K26,2,4)),5),"H")</f>
        <v>07C00H</v>
      </c>
      <c r="M26" s="9">
        <f>1/C26*E26*F26*HEX2DEC(MID(K26,2,4))/1000</f>
        <v>3.333333333333333</v>
      </c>
      <c r="N26" s="2" t="s">
        <v>5</v>
      </c>
      <c r="O26" s="13" t="str">
        <f t="shared" si="18"/>
        <v/>
      </c>
      <c r="V26" s="10"/>
      <c r="W26" s="76" t="s">
        <v>121</v>
      </c>
      <c r="X26" s="27" t="str">
        <f>IF(AD29="","-", IF(AD32="",IF(X10="OFF","request hi",IF(AD35="","request low","request hi")),IF(X10="OFF","call ir_high",IF(AD35="","call ir_low","call ir_high"))))</f>
        <v>-</v>
      </c>
      <c r="AA26" s="47" t="s">
        <v>119</v>
      </c>
      <c r="AB26" s="27" t="str">
        <f>AD19</f>
        <v>90</v>
      </c>
      <c r="AC26" s="86" t="str">
        <f t="shared" si="20"/>
        <v>■</v>
      </c>
      <c r="AD26" s="86" t="str">
        <f t="shared" si="21"/>
        <v/>
      </c>
      <c r="AE26" s="86" t="str">
        <f t="shared" si="22"/>
        <v/>
      </c>
      <c r="AF26" s="86" t="str">
        <f t="shared" si="23"/>
        <v>■</v>
      </c>
      <c r="AG26" s="88" t="str">
        <f t="shared" si="24"/>
        <v/>
      </c>
      <c r="AH26" s="88" t="str">
        <f t="shared" si="25"/>
        <v/>
      </c>
      <c r="AI26" s="88" t="str">
        <f t="shared" si="26"/>
        <v/>
      </c>
      <c r="AJ26" s="88" t="str">
        <f t="shared" si="27"/>
        <v/>
      </c>
    </row>
    <row r="27" spans="1:44" ht="14.25" thickBot="1" x14ac:dyDescent="0.2">
      <c r="B27" t="s">
        <v>17</v>
      </c>
      <c r="C27" s="12">
        <f t="shared" si="17"/>
        <v>10.137600000000001</v>
      </c>
      <c r="D27" s="2" t="s">
        <v>0</v>
      </c>
      <c r="E27" s="19">
        <v>256</v>
      </c>
      <c r="F27" s="11">
        <v>1</v>
      </c>
      <c r="G27" s="19">
        <v>5</v>
      </c>
      <c r="H27" s="2" t="s">
        <v>11</v>
      </c>
      <c r="I27" s="15">
        <f t="shared" si="19"/>
        <v>200</v>
      </c>
      <c r="J27" s="2" t="s">
        <v>2</v>
      </c>
      <c r="K27" s="1" t="str">
        <f>CONCATENATE(DEC2HEX(G27*1000/(1/C27*E27*F27) + 0.5,5),"H")</f>
        <v>000C6H</v>
      </c>
      <c r="L27" s="26" t="str">
        <f>CONCATENATE(DEC2HEX(256-HEX2DEC(MID(K27,4,2)),3),"H")</f>
        <v>03AH</v>
      </c>
      <c r="M27" s="9">
        <f>1/C27*E27*F27*HEX2DEC(MID(K27,4,2))/1000</f>
        <v>4.9999999999999991</v>
      </c>
      <c r="N27" s="2" t="s">
        <v>5</v>
      </c>
      <c r="O27" s="13" t="str">
        <f t="shared" si="18"/>
        <v/>
      </c>
      <c r="V27" s="10"/>
      <c r="W27" s="76" t="s">
        <v>42</v>
      </c>
      <c r="X27" s="27" t="str">
        <f>IF(AE29="","-", IF(AE32="",IF(X10="OFF","request hi",IF(AE35="","request low","request hi")),IF(X10="OFF","call ir_high",IF(AE35="","call ir_low","call ir_high"))))</f>
        <v>-</v>
      </c>
      <c r="AA27" s="79" t="s">
        <v>116</v>
      </c>
      <c r="AB27" s="27" t="str">
        <f>AC19</f>
        <v>CA</v>
      </c>
      <c r="AC27" s="89" t="str">
        <f t="shared" si="20"/>
        <v>■</v>
      </c>
      <c r="AD27" s="89" t="str">
        <f t="shared" si="21"/>
        <v>■</v>
      </c>
      <c r="AE27" s="89" t="str">
        <f t="shared" si="22"/>
        <v/>
      </c>
      <c r="AF27" s="89" t="str">
        <f t="shared" si="23"/>
        <v/>
      </c>
      <c r="AG27" s="84" t="str">
        <f t="shared" si="24"/>
        <v>■</v>
      </c>
      <c r="AH27" s="84" t="str">
        <f t="shared" si="25"/>
        <v/>
      </c>
      <c r="AI27" s="84" t="str">
        <f t="shared" si="26"/>
        <v>■</v>
      </c>
      <c r="AJ27" s="84" t="str">
        <f t="shared" si="27"/>
        <v/>
      </c>
    </row>
    <row r="28" spans="1:44" ht="14.25" thickBot="1" x14ac:dyDescent="0.2">
      <c r="B28" t="s">
        <v>28</v>
      </c>
      <c r="C28" s="12">
        <f t="shared" si="17"/>
        <v>10.137600000000001</v>
      </c>
      <c r="D28" s="2" t="s">
        <v>0</v>
      </c>
      <c r="E28" s="19">
        <v>1</v>
      </c>
      <c r="F28" s="18">
        <v>1</v>
      </c>
      <c r="G28" s="19">
        <v>200</v>
      </c>
      <c r="H28" s="2" t="s">
        <v>14</v>
      </c>
      <c r="I28" s="15">
        <f t="shared" si="19"/>
        <v>5</v>
      </c>
      <c r="J28" t="s">
        <v>30</v>
      </c>
      <c r="K28" s="1" t="str">
        <f>CONCATENATE(DEC2HEX((1/G28)*1000/(1/C28*E28*F28) + 0.5-1,5),"H")</f>
        <v>00032H</v>
      </c>
      <c r="L28" s="26" t="str">
        <f>CONCATENATE(CONCATENATE("0",MID(K28,4,2)),"H")</f>
        <v>032H</v>
      </c>
      <c r="M28" s="48">
        <f>1/(1/(C28*1000)*E28*F28*IF(HEX2DEC(MID(L28,2,2))=0,0,HEX2DEC(MID(L28,2,2))+1))</f>
        <v>198.7764705882353</v>
      </c>
      <c r="N28" s="2" t="s">
        <v>14</v>
      </c>
      <c r="O28" s="13" t="str">
        <f t="shared" si="18"/>
        <v>0.61%</v>
      </c>
      <c r="V28" s="10"/>
      <c r="W28" s="76" t="s">
        <v>125</v>
      </c>
      <c r="X28" s="27" t="str">
        <f>IF(AF29="","-", IF(AF32="",IF(X10="OFF","request hi",IF(AF35="","request low","request hi")),IF(X10="OFF","call ir_high",IF(AF35="","call ir_low","call ir_high"))))</f>
        <v>-</v>
      </c>
      <c r="AA28" s="79" t="s">
        <v>117</v>
      </c>
      <c r="AB28" s="27" t="str">
        <f>AQ13</f>
        <v>30</v>
      </c>
      <c r="AC28" s="84" t="str">
        <f t="shared" si="20"/>
        <v/>
      </c>
      <c r="AD28" s="84" t="str">
        <f t="shared" si="21"/>
        <v/>
      </c>
      <c r="AE28" s="84" t="str">
        <f t="shared" si="22"/>
        <v>■</v>
      </c>
      <c r="AF28" s="84" t="str">
        <f t="shared" si="23"/>
        <v>■</v>
      </c>
      <c r="AG28" s="89" t="str">
        <f t="shared" si="24"/>
        <v/>
      </c>
      <c r="AH28" s="89" t="str">
        <f t="shared" si="25"/>
        <v/>
      </c>
      <c r="AI28" s="89" t="str">
        <f t="shared" si="26"/>
        <v/>
      </c>
      <c r="AJ28" s="89" t="str">
        <f t="shared" si="27"/>
        <v/>
      </c>
    </row>
    <row r="29" spans="1:44" ht="14.25" thickBot="1" x14ac:dyDescent="0.2">
      <c r="B29" t="s">
        <v>28</v>
      </c>
      <c r="C29" s="12">
        <f t="shared" si="17"/>
        <v>10.137600000000001</v>
      </c>
      <c r="D29" s="2" t="s">
        <v>0</v>
      </c>
      <c r="E29" s="11">
        <f>E28</f>
        <v>1</v>
      </c>
      <c r="F29" s="11">
        <f>F28</f>
        <v>1</v>
      </c>
      <c r="G29" s="11">
        <f>G28</f>
        <v>200</v>
      </c>
      <c r="H29" s="2" t="s">
        <v>14</v>
      </c>
      <c r="I29" s="15">
        <f t="shared" si="19"/>
        <v>5</v>
      </c>
      <c r="J29" t="s">
        <v>30</v>
      </c>
      <c r="K29" s="35" t="s">
        <v>78</v>
      </c>
      <c r="L29" s="26" t="str">
        <f>CONCATENATE(IF(RIGHT(K29,1)="H",DEC2HEX(HEX2DEC(RIGHT(LEFT(K29,LEN(K29)-1),2)),3),IF(RIGHT(K29,1)="h",DEC2HEX(HEX2DEC(RIGHT(LEFT(K29,LEN(K29)-1),2)),3),CONCATENATE("0",RIGHT(DEC2HEX(K29,3),2)))),"H")</f>
        <v>0FFH</v>
      </c>
      <c r="M29" s="38">
        <f>1/(1/(C29*1000)*E29*F29*IF(HEX2DEC(MID(L29,2,2))=0,0,HEX2DEC(MID(L29,2,2))+1))</f>
        <v>39.6</v>
      </c>
      <c r="N29" s="2" t="s">
        <v>14</v>
      </c>
      <c r="O29" s="13" t="str">
        <f t="shared" si="18"/>
        <v>80.20%</v>
      </c>
      <c r="V29" s="10"/>
      <c r="W29" s="76" t="s">
        <v>126</v>
      </c>
      <c r="X29" s="27" t="str">
        <f>IF(AG29="","-", IF(AG32="",IF(X10="OFF","request hi",IF(AG35="","request low","request hi")),IF(X10="OFF","call ir_high",IF(AG35="","call ir_low","call ir_high"))))</f>
        <v>-</v>
      </c>
      <c r="AA29" s="79" t="s">
        <v>118</v>
      </c>
      <c r="AB29" s="27" t="str">
        <f>AD14</f>
        <v>00</v>
      </c>
      <c r="AC29" s="89" t="str">
        <f t="shared" si="20"/>
        <v/>
      </c>
      <c r="AD29" s="89" t="str">
        <f t="shared" si="21"/>
        <v/>
      </c>
      <c r="AE29" s="89" t="str">
        <f t="shared" si="22"/>
        <v/>
      </c>
      <c r="AF29" s="89" t="str">
        <f t="shared" si="23"/>
        <v/>
      </c>
      <c r="AG29" s="84" t="str">
        <f t="shared" si="24"/>
        <v/>
      </c>
      <c r="AH29" s="84" t="str">
        <f t="shared" si="25"/>
        <v/>
      </c>
      <c r="AI29" s="84" t="str">
        <f t="shared" si="26"/>
        <v/>
      </c>
      <c r="AJ29" s="84" t="str">
        <f t="shared" si="27"/>
        <v/>
      </c>
    </row>
    <row r="30" spans="1:44" ht="14.25" thickBot="1" x14ac:dyDescent="0.2">
      <c r="B30" s="10" t="s">
        <v>27</v>
      </c>
      <c r="C30" s="1"/>
      <c r="D30" s="2"/>
      <c r="K30" s="1"/>
      <c r="V30" s="10"/>
      <c r="W30" s="76" t="s">
        <v>127</v>
      </c>
      <c r="X30" s="27" t="str">
        <f>IF(AH29="","-", IF(AH32="",IF(X10="OFF","request hi",IF(AH35="","request low","request hi")),IF(X10="OFF","call ir_high",IF(AH35="","call ir_low","call ir_high"))))</f>
        <v>-</v>
      </c>
      <c r="AA30" s="76" t="s">
        <v>122</v>
      </c>
      <c r="AB30" s="85" t="s">
        <v>123</v>
      </c>
      <c r="AC30" s="85"/>
      <c r="AD30" s="85"/>
      <c r="AE30" s="85"/>
      <c r="AF30" s="85"/>
      <c r="AG30" s="87"/>
      <c r="AH30" s="87"/>
      <c r="AI30" s="87"/>
      <c r="AJ30" s="87"/>
    </row>
    <row r="31" spans="1:44" ht="14.25" thickBot="1" x14ac:dyDescent="0.2">
      <c r="B31" t="s">
        <v>9</v>
      </c>
      <c r="C31" s="17">
        <f t="shared" ref="C31:C36" si="28">$C$8/4</f>
        <v>10.137600000000001</v>
      </c>
      <c r="D31" s="2" t="s">
        <v>0</v>
      </c>
      <c r="E31" s="19">
        <v>1</v>
      </c>
      <c r="F31" s="11">
        <v>1</v>
      </c>
      <c r="G31" s="19">
        <v>1</v>
      </c>
      <c r="H31" s="2" t="s">
        <v>5</v>
      </c>
      <c r="I31" s="16">
        <f>1/G31</f>
        <v>1</v>
      </c>
      <c r="J31" t="s">
        <v>14</v>
      </c>
      <c r="K31" s="1" t="str">
        <f>CONCATENATE(DEC2HEX(G31*1000/(1/C31*E31*F31) + 0.5,5),"H")</f>
        <v>0279AH</v>
      </c>
      <c r="L31" s="26" t="str">
        <f>CONCATENATE(DEC2HEX(65536-HEX2DEC(MID(K31,2,4)),5),"H")</f>
        <v>0D866H</v>
      </c>
      <c r="M31" s="9">
        <f>1/C31*E31*F31*HEX2DEC(MID(K31,2,4))/1000</f>
        <v>1.000039457070707</v>
      </c>
      <c r="N31" s="2" t="s">
        <v>5</v>
      </c>
      <c r="O31" s="13" t="str">
        <f t="shared" ref="O31:O36" si="29">IF(ABS((M31-G31)/G31*100)&gt;0.1,CONCATENATE(FIXED(ABS((M31-G31)/G31*100),2),"%"),"")</f>
        <v/>
      </c>
      <c r="W31" s="76" t="s">
        <v>128</v>
      </c>
      <c r="X31" s="27" t="str">
        <f>IF(AI29="","-", IF(AI32="",IF(X10="OFF","request hi",IF(AI35="","request low","request hi")),IF(X10="OFF","call ir_high",IF(AI35="","call ir_low","call ir_high"))))</f>
        <v>-</v>
      </c>
      <c r="AA31" s="79" t="s">
        <v>130</v>
      </c>
      <c r="AB31" s="27" t="str">
        <f>AP13</f>
        <v>20</v>
      </c>
      <c r="AC31" s="88" t="str">
        <f>IF(MID(HEX2BIN($AB31,8),1,1)="1","■","")</f>
        <v/>
      </c>
      <c r="AD31" s="88" t="str">
        <f>IF(MID(HEX2BIN($AB31,8),2,1)="1","■","")</f>
        <v/>
      </c>
      <c r="AE31" s="88" t="str">
        <f>IF(MID(HEX2BIN($AB31,8),3,1)="1","■","")</f>
        <v>■</v>
      </c>
      <c r="AF31" s="88" t="str">
        <f>IF(MID(HEX2BIN($AB31,8),4,1)="1","■","")</f>
        <v/>
      </c>
      <c r="AG31" s="86" t="str">
        <f>IF(MID(HEX2BIN($AB31,8),5,1)="1","■","")</f>
        <v/>
      </c>
      <c r="AH31" s="86" t="str">
        <f>IF(MID(HEX2BIN($AB31,8),6,1)="1","■","")</f>
        <v/>
      </c>
      <c r="AI31" s="86" t="str">
        <f>IF(MID(HEX2BIN($AB31,8),7,1)="1","■","")</f>
        <v/>
      </c>
      <c r="AJ31" s="86" t="str">
        <f>IF(MID(HEX2BIN($AB31,8),8,1)="1","■","")</f>
        <v/>
      </c>
    </row>
    <row r="32" spans="1:44" ht="14.25" thickBot="1" x14ac:dyDescent="0.2">
      <c r="B32" t="s">
        <v>10</v>
      </c>
      <c r="C32" s="17">
        <f t="shared" si="28"/>
        <v>10.137600000000001</v>
      </c>
      <c r="D32" s="2" t="s">
        <v>0</v>
      </c>
      <c r="E32" s="19">
        <v>256</v>
      </c>
      <c r="F32" s="11">
        <v>1</v>
      </c>
      <c r="G32" s="19">
        <v>5</v>
      </c>
      <c r="H32" s="2" t="s">
        <v>11</v>
      </c>
      <c r="I32" s="16">
        <f>1/G32</f>
        <v>0.2</v>
      </c>
      <c r="J32" t="s">
        <v>14</v>
      </c>
      <c r="K32" s="1" t="str">
        <f>CONCATENATE(DEC2HEX(G32*1000/(1/C32*E32*F32) + 0.5,5),"H")</f>
        <v>000C6H</v>
      </c>
      <c r="L32" s="26" t="str">
        <f>CONCATENATE(DEC2HEX(256-HEX2DEC(MID(K32,4,2)),3),"H")</f>
        <v>03AH</v>
      </c>
      <c r="M32" s="9">
        <f>1/C32*E32*F32*HEX2DEC(MID(K32,4,2))/1000</f>
        <v>4.9999999999999991</v>
      </c>
      <c r="N32" s="2" t="s">
        <v>5</v>
      </c>
      <c r="O32" s="13" t="str">
        <f t="shared" si="29"/>
        <v/>
      </c>
      <c r="W32" s="76" t="s">
        <v>129</v>
      </c>
      <c r="X32" s="27" t="str">
        <f>IF(AJ29="","-", IF(AJ32="",IF(X10="OFF","request hi",IF(AJ35="","request low","request hi")),IF(X10="OFF","call ir_high",IF(AJ35="","call ir_low","call ir_high"))))</f>
        <v>-</v>
      </c>
      <c r="AA32" s="79" t="s">
        <v>135</v>
      </c>
      <c r="AB32" s="27" t="str">
        <f>AC14</f>
        <v>04</v>
      </c>
      <c r="AC32" s="86" t="str">
        <f>IF(MID(HEX2BIN($AB32,8),1,1)="1","■","")</f>
        <v/>
      </c>
      <c r="AD32" s="86" t="str">
        <f>IF(MID(HEX2BIN($AB32,8),2,1)="1","■","")</f>
        <v/>
      </c>
      <c r="AE32" s="86" t="str">
        <f>IF(MID(HEX2BIN($AB32,8),3,1)="1","■","")</f>
        <v/>
      </c>
      <c r="AF32" s="86" t="str">
        <f>IF(MID(HEX2BIN($AB32,8),4,1)="1","■","")</f>
        <v/>
      </c>
      <c r="AG32" s="88" t="str">
        <f>IF(MID(HEX2BIN($AB32,8),5,1)="1","■","")</f>
        <v/>
      </c>
      <c r="AH32" s="88" t="str">
        <f>IF(MID(HEX2BIN($AB32,8),6,1)="1","■","")</f>
        <v>■</v>
      </c>
      <c r="AI32" s="88" t="str">
        <f>IF(MID(HEX2BIN($AB32,8),7,1)="1","■","")</f>
        <v/>
      </c>
      <c r="AJ32" s="88" t="str">
        <f>IF(MID(HEX2BIN($AB32,8),8,1)="1","■","")</f>
        <v/>
      </c>
    </row>
    <row r="33" spans="1:36" ht="14.25" thickBot="1" x14ac:dyDescent="0.2">
      <c r="B33" t="s">
        <v>8</v>
      </c>
      <c r="C33" s="17">
        <f t="shared" si="28"/>
        <v>10.137600000000001</v>
      </c>
      <c r="D33" s="2" t="s">
        <v>0</v>
      </c>
      <c r="E33" s="19">
        <v>1</v>
      </c>
      <c r="F33" s="11">
        <v>1</v>
      </c>
      <c r="G33" s="19">
        <v>4800</v>
      </c>
      <c r="H33" s="2" t="s">
        <v>2</v>
      </c>
      <c r="I33" s="15">
        <f>1000000/G33</f>
        <v>208.33333333333334</v>
      </c>
      <c r="J33" t="s">
        <v>30</v>
      </c>
      <c r="K33" s="1" t="str">
        <f>CONCATENATE(DEC2HEX((1000/G33)*1000/(1/C33*E33*F33) + 0.5,5),"H")</f>
        <v>00840H</v>
      </c>
      <c r="L33" s="26" t="str">
        <f>CONCATENATE(DEC2HEX(65536-HEX2DEC(MID(K33,2,4)),5),"H")</f>
        <v>0F7C0H</v>
      </c>
      <c r="M33" s="9">
        <f>1/(1/(C33*1000000)*E33*F33*HEX2DEC(MID(K33,2,4)))</f>
        <v>4800</v>
      </c>
      <c r="N33" s="2" t="s">
        <v>2</v>
      </c>
      <c r="O33" s="13" t="str">
        <f t="shared" si="29"/>
        <v/>
      </c>
      <c r="V33" s="47" t="s">
        <v>124</v>
      </c>
      <c r="W33" s="76" t="s">
        <v>42</v>
      </c>
      <c r="X33" s="27" t="str">
        <f>IF(AC30="","-", IF(AC33="",IF(X10="OFF","request hi",IF(AC36="","request low","request hi")),IF(X10="OFF","call ir_high",IF(AC36="","call ir_low","call ir_high"))))</f>
        <v>-</v>
      </c>
      <c r="AA33" s="76" t="s">
        <v>131</v>
      </c>
      <c r="AB33" s="91" t="s">
        <v>123</v>
      </c>
      <c r="AC33" s="87"/>
      <c r="AD33" s="87"/>
      <c r="AE33" s="87"/>
      <c r="AF33" s="87"/>
      <c r="AG33" s="85"/>
      <c r="AH33" s="85"/>
      <c r="AI33" s="85"/>
      <c r="AJ33" s="85"/>
    </row>
    <row r="34" spans="1:36" ht="14.25" thickBot="1" x14ac:dyDescent="0.2">
      <c r="B34" t="s">
        <v>12</v>
      </c>
      <c r="C34" s="17">
        <f t="shared" si="28"/>
        <v>10.137600000000001</v>
      </c>
      <c r="D34" s="2" t="s">
        <v>0</v>
      </c>
      <c r="E34" s="19">
        <v>8</v>
      </c>
      <c r="F34" s="11">
        <v>1</v>
      </c>
      <c r="G34" s="19">
        <v>9800</v>
      </c>
      <c r="H34" s="2" t="s">
        <v>2</v>
      </c>
      <c r="I34" s="15">
        <f>1000000/G34</f>
        <v>102.04081632653062</v>
      </c>
      <c r="J34" t="s">
        <v>30</v>
      </c>
      <c r="K34" s="1" t="str">
        <f>CONCATENATE(DEC2HEX((1000/G34)*1000/(1/C34*E34*F34) + 0.5,5),"H")</f>
        <v>00081H</v>
      </c>
      <c r="L34" s="26" t="str">
        <f>CONCATENATE(DEC2HEX(256-HEX2DEC(MID(K34,4,2)),3),"H")</f>
        <v>07FH</v>
      </c>
      <c r="M34" s="9">
        <f>1/(1/(C34*1000000)*E34*F34*IF(HEX2DEC(MID(K34,4,2))=0,256,HEX2DEC(MID(K34,4,2))))</f>
        <v>9823.2558139534885</v>
      </c>
      <c r="N34" s="2" t="s">
        <v>2</v>
      </c>
      <c r="O34" s="13" t="str">
        <f t="shared" si="29"/>
        <v>0.24%</v>
      </c>
      <c r="V34" s="10"/>
      <c r="W34" s="76" t="s">
        <v>42</v>
      </c>
      <c r="X34" s="27" t="str">
        <f>IF(AD30="","-", IF(AD33="",IF(X10="OFF","request hi",IF(AD36="","request low","request hi")),IF(X10="OFF","call ir_high",IF(AD36="","call ir_low","call ir_high"))))</f>
        <v>-</v>
      </c>
      <c r="AA34" s="79" t="s">
        <v>136</v>
      </c>
      <c r="AB34" s="27" t="str">
        <f>AR13</f>
        <v>00</v>
      </c>
      <c r="AC34" s="86" t="str">
        <f>IF(MID(HEX2BIN($AB34,8),1,1)="1","■","")</f>
        <v/>
      </c>
      <c r="AD34" s="86" t="str">
        <f>IF(MID(HEX2BIN($AB34,8),2,1)="1","■","")</f>
        <v/>
      </c>
      <c r="AE34" s="86" t="str">
        <f>IF(MID(HEX2BIN($AB34,8),3,1)="1","■","")</f>
        <v/>
      </c>
      <c r="AF34" s="86" t="str">
        <f>IF(MID(HEX2BIN($AB34,8),4,1)="1","■","")</f>
        <v/>
      </c>
      <c r="AG34" s="88" t="str">
        <f>IF(MID(HEX2BIN($AB34,8),5,1)="1","■","")</f>
        <v/>
      </c>
      <c r="AH34" s="88" t="str">
        <f>IF(MID(HEX2BIN($AB34,8),6,1)="1","■","")</f>
        <v/>
      </c>
      <c r="AI34" s="88" t="str">
        <f>IF(MID(HEX2BIN($AB34,8),7,1)="1","■","")</f>
        <v/>
      </c>
      <c r="AJ34" s="88" t="str">
        <f>IF(MID(HEX2BIN($AB34,8),8,1)="1","■","")</f>
        <v/>
      </c>
    </row>
    <row r="35" spans="1:36" ht="14.25" thickBot="1" x14ac:dyDescent="0.2">
      <c r="B35" t="s">
        <v>16</v>
      </c>
      <c r="C35" s="17">
        <f t="shared" si="28"/>
        <v>10.137600000000001</v>
      </c>
      <c r="D35" s="2" t="s">
        <v>0</v>
      </c>
      <c r="E35" s="19">
        <v>1</v>
      </c>
      <c r="F35" s="11">
        <v>1</v>
      </c>
      <c r="G35" s="19">
        <f>10/3</f>
        <v>3.3333333333333335</v>
      </c>
      <c r="H35" s="2" t="s">
        <v>5</v>
      </c>
      <c r="I35" s="15">
        <f>1000/G35</f>
        <v>300</v>
      </c>
      <c r="J35" s="2" t="s">
        <v>2</v>
      </c>
      <c r="K35" s="1" t="str">
        <f>CONCATENATE(DEC2HEX(G35*1000/(1/C35*E35*F35) + 0.5,5),"H")</f>
        <v>08400H</v>
      </c>
      <c r="L35" s="26" t="str">
        <f>CONCATENATE(DEC2HEX(65536-HEX2DEC(MID(K35,2,4)),5),"H")</f>
        <v>07C00H</v>
      </c>
      <c r="M35" s="9">
        <f>1/C35*E35*F35*HEX2DEC(MID(K35,2,4))/1000</f>
        <v>3.333333333333333</v>
      </c>
      <c r="N35" s="2" t="s">
        <v>5</v>
      </c>
      <c r="O35" s="13" t="str">
        <f t="shared" si="29"/>
        <v/>
      </c>
      <c r="V35" s="10"/>
      <c r="W35" s="76" t="s">
        <v>42</v>
      </c>
      <c r="X35" s="27" t="str">
        <f>IF(AE30="","-", IF(AE33="",IF(X10="OFF","request hi",IF(AE36="","request low","request hi")),IF(X10="OFF","call ir_high",IF(AE36="","call ir_low","call ir_high"))))</f>
        <v>-</v>
      </c>
      <c r="AA35" s="79" t="s">
        <v>137</v>
      </c>
      <c r="AB35" s="27" t="str">
        <f>AE14</f>
        <v>01</v>
      </c>
      <c r="AC35" s="88" t="str">
        <f>IF(MID(HEX2BIN($AB35,8),1,1)="1","■","")</f>
        <v/>
      </c>
      <c r="AD35" s="88" t="str">
        <f>IF(MID(HEX2BIN($AB35,8),2,1)="1","■","")</f>
        <v/>
      </c>
      <c r="AE35" s="88" t="str">
        <f>IF(MID(HEX2BIN($AB35,8),3,1)="1","■","")</f>
        <v/>
      </c>
      <c r="AF35" s="88" t="str">
        <f>IF(MID(HEX2BIN($AB35,8),4,1)="1","■","")</f>
        <v/>
      </c>
      <c r="AG35" s="86" t="str">
        <f>IF(MID(HEX2BIN($AB35,8),5,1)="1","■","")</f>
        <v/>
      </c>
      <c r="AH35" s="86" t="str">
        <f>IF(MID(HEX2BIN($AB35,8),6,1)="1","■","")</f>
        <v/>
      </c>
      <c r="AI35" s="86" t="str">
        <f>IF(MID(HEX2BIN($AB35,8),7,1)="1","■","")</f>
        <v/>
      </c>
      <c r="AJ35" s="86" t="str">
        <f>IF(MID(HEX2BIN($AB35,8),8,1)="1","■","")</f>
        <v>■</v>
      </c>
    </row>
    <row r="36" spans="1:36" ht="14.25" thickBot="1" x14ac:dyDescent="0.2">
      <c r="B36" t="s">
        <v>17</v>
      </c>
      <c r="C36" s="17">
        <f t="shared" si="28"/>
        <v>10.137600000000001</v>
      </c>
      <c r="D36" s="2" t="s">
        <v>0</v>
      </c>
      <c r="E36" s="19">
        <v>256</v>
      </c>
      <c r="F36" s="11">
        <v>1</v>
      </c>
      <c r="G36" s="19">
        <v>5</v>
      </c>
      <c r="H36" s="2" t="s">
        <v>11</v>
      </c>
      <c r="I36" s="15">
        <f>1000/G36</f>
        <v>200</v>
      </c>
      <c r="J36" s="2" t="s">
        <v>2</v>
      </c>
      <c r="K36" s="1" t="str">
        <f>CONCATENATE(DEC2HEX(G36*1000/(1/C36*E36*F36) + 0.5,5),"H")</f>
        <v>000C6H</v>
      </c>
      <c r="L36" s="26" t="str">
        <f>CONCATENATE(DEC2HEX(256-HEX2DEC(MID(K36,4,2)),3),"H")</f>
        <v>03AH</v>
      </c>
      <c r="M36" s="9">
        <f>1/C36*E36*F36*HEX2DEC(MID(K36,4,2))/1000</f>
        <v>4.9999999999999991</v>
      </c>
      <c r="N36" s="2" t="s">
        <v>5</v>
      </c>
      <c r="O36" s="13" t="str">
        <f t="shared" si="29"/>
        <v/>
      </c>
      <c r="V36" s="10"/>
      <c r="W36" s="76" t="s">
        <v>42</v>
      </c>
      <c r="X36" s="27" t="str">
        <f>IF(AF30="","-", IF(AF33="",IF(X10="OFF","request hi",IF(AF36="","request low","request hi")),IF(X10="OFF","call ir_high",IF(AF36="","call ir_low","call ir_high"))))</f>
        <v>-</v>
      </c>
      <c r="AA36" s="76" t="s">
        <v>132</v>
      </c>
      <c r="AB36" s="85" t="s">
        <v>123</v>
      </c>
      <c r="AC36" s="85"/>
      <c r="AD36" s="85"/>
      <c r="AE36" s="85"/>
      <c r="AF36" s="85"/>
      <c r="AG36" s="87"/>
      <c r="AH36" s="87"/>
      <c r="AI36" s="87"/>
      <c r="AJ36" s="87"/>
    </row>
    <row r="37" spans="1:36" x14ac:dyDescent="0.15">
      <c r="V37" s="10"/>
      <c r="W37" s="76" t="s">
        <v>42</v>
      </c>
      <c r="X37" s="27" t="str">
        <f>IF(AG30="","-", IF(AG33="",IF(X10="OFF","request hi",IF(AG36="","request low","request hi")),IF(X10="OFF","call ir_high",IF(AG36="","call ir_low","call ir_high"))))</f>
        <v>-</v>
      </c>
      <c r="AA37" s="79" t="s">
        <v>138</v>
      </c>
      <c r="AB37" s="27" t="str">
        <f>AO14</f>
        <v>26</v>
      </c>
      <c r="AC37" s="88" t="str">
        <f>IF(MID(HEX2BIN($AB37,8),1,1)="1","■","")</f>
        <v/>
      </c>
      <c r="AD37" s="88" t="str">
        <f>IF(MID(HEX2BIN($AB37,8),2,1)="1","■","")</f>
        <v/>
      </c>
      <c r="AE37" s="89" t="str">
        <f>IF(MID(HEX2BIN($AB37,8),3,1)="1","■","")</f>
        <v>■</v>
      </c>
      <c r="AF37" s="88" t="str">
        <f>IF(MID(HEX2BIN($AB37,8),4,1)="1","■","")</f>
        <v/>
      </c>
      <c r="AG37" s="86" t="str">
        <f>IF(MID(HEX2BIN($AB37,8),5,1)="1","■","")</f>
        <v/>
      </c>
      <c r="AH37" s="86" t="str">
        <f>IF(MID(HEX2BIN($AB37,8),6,1)="1","■","")</f>
        <v>■</v>
      </c>
      <c r="AI37" s="86" t="str">
        <f>IF(MID(HEX2BIN($AB37,8),7,1)="1","■","")</f>
        <v>■</v>
      </c>
      <c r="AJ37" s="86" t="str">
        <f>IF(MID(HEX2BIN($AB37,8),8,1)="1","■","")</f>
        <v/>
      </c>
    </row>
    <row r="38" spans="1:36" x14ac:dyDescent="0.15">
      <c r="A38" t="s">
        <v>95</v>
      </c>
      <c r="B38" s="47" t="s">
        <v>150</v>
      </c>
      <c r="C38" s="10" t="s">
        <v>35</v>
      </c>
      <c r="D38" s="10"/>
      <c r="E38" s="10" t="s">
        <v>3</v>
      </c>
      <c r="F38" s="10" t="s">
        <v>38</v>
      </c>
      <c r="G38" s="10" t="s">
        <v>3</v>
      </c>
      <c r="H38" s="10"/>
      <c r="I38" s="10" t="s">
        <v>4</v>
      </c>
      <c r="J38" s="10"/>
      <c r="K38" s="29" t="s">
        <v>54</v>
      </c>
      <c r="L38" s="29" t="s">
        <v>55</v>
      </c>
      <c r="M38" s="10" t="s">
        <v>6</v>
      </c>
      <c r="O38" s="14" t="s">
        <v>33</v>
      </c>
      <c r="P38" s="10" t="s">
        <v>40</v>
      </c>
      <c r="Q38" s="10" t="s">
        <v>41</v>
      </c>
      <c r="R38" s="10" t="s">
        <v>52</v>
      </c>
      <c r="V38" s="10"/>
      <c r="W38" s="76" t="s">
        <v>42</v>
      </c>
      <c r="X38" s="27" t="str">
        <f>IF(AH30="","-", IF(AH33="",IF(X10="OFF","request hi",IF(AH36="","request low","request hi")),IF(X10="OFF","call ir_high",IF(AH36="","call ir_low","call ir_high"))))</f>
        <v>-</v>
      </c>
      <c r="AA38" s="47" t="s">
        <v>139</v>
      </c>
      <c r="AB38" s="27" t="str">
        <f>AN14</f>
        <v>90</v>
      </c>
      <c r="AC38" s="86" t="str">
        <f>IF(MID(HEX2BIN($AB38,8),1,1)="1","■","")</f>
        <v>■</v>
      </c>
      <c r="AD38" s="86" t="str">
        <f>IF(MID(HEX2BIN($AB38,8),2,1)="1","■","")</f>
        <v/>
      </c>
      <c r="AE38" s="86" t="str">
        <f>IF(MID(HEX2BIN($AB38,8),3,1)="1","■","")</f>
        <v/>
      </c>
      <c r="AF38" s="86" t="str">
        <f>IF(MID(HEX2BIN($AB38,8),4,1)="1","■","")</f>
        <v>■</v>
      </c>
      <c r="AG38" s="88" t="str">
        <f>IF(MID(HEX2BIN($AB38,8),5,1)="1","■","")</f>
        <v/>
      </c>
      <c r="AH38" s="88" t="str">
        <f>IF(MID(HEX2BIN($AB38,8),6,1)="1","■","")</f>
        <v/>
      </c>
      <c r="AI38" s="88" t="str">
        <f>IF(MID(HEX2BIN($AB38,8),7,1)="1","■","")</f>
        <v/>
      </c>
      <c r="AJ38" s="88" t="str">
        <f>IF(MID(HEX2BIN($AB38,8),8,1)="1","■","")</f>
        <v/>
      </c>
    </row>
    <row r="39" spans="1:36" x14ac:dyDescent="0.15">
      <c r="A39" s="1" t="s">
        <v>44</v>
      </c>
      <c r="B39" s="30">
        <f>INT(G39/10)*10</f>
        <v>30</v>
      </c>
      <c r="C39" s="20">
        <f t="shared" ref="C39:C54" si="30">$C$9</f>
        <v>40550400</v>
      </c>
      <c r="D39" s="2" t="s">
        <v>142</v>
      </c>
      <c r="E39" s="21" t="s">
        <v>96</v>
      </c>
      <c r="G39" s="15">
        <f t="shared" ref="G39:G45" si="31">C39/(16*(HEX2DEC(MID(E39,2,4))+1))</f>
        <v>38.671875</v>
      </c>
      <c r="H39" s="2" t="s">
        <v>2</v>
      </c>
      <c r="K39" s="27" t="str">
        <f>RIGHT(E39,6)</f>
        <v>0FFFFH</v>
      </c>
      <c r="L39" s="27" t="s">
        <v>48</v>
      </c>
      <c r="M39" s="37">
        <f t="shared" ref="M39:M54" si="32">IF(K39="-","-",IF(C39/(IF(L39="Low",16,4)*(HEX2DEC(MID(K39,2,4))+1))&gt;10000,C39/(IF(L39="Low",16,4)*(HEX2DEC(MID(K39,2,4))+1))/1000,C39/(IF(L39="Low",16,4)*(HEX2DEC(MID(K39,2,4))+1))))</f>
        <v>38.671875</v>
      </c>
      <c r="N39" t="str">
        <f t="shared" ref="N39:N54" si="33">IF(K39="-","bps",IF(C39/(IF(L39="Low",16,4)*(HEX2DEC(MID(K39,2,4))+1))&gt;10000,"Kbps","bps"))</f>
        <v>bps</v>
      </c>
      <c r="O39" s="13" t="str">
        <f t="shared" ref="O39:O54" si="34">IF(M39="-","-",IF(ABS((M39*(IF(N39="Kbps",1000,1))-B39)/B39*100)&gt;0.1,CONCATENATE(FIXED(ABS((M39*(IF(N39="Kbps",1000,1))-B39)/B39*100),2),"%"),""))</f>
        <v>28.91%</v>
      </c>
      <c r="P39" s="22" t="str">
        <f>IF((G39-B39)/B39*100&gt;5,"OVER 5%",(G39-B39)/B39*100)</f>
        <v>OVER 5%</v>
      </c>
      <c r="Q39" s="10" t="s">
        <v>42</v>
      </c>
      <c r="R39" s="1" t="str">
        <f>E39</f>
        <v>0FFFFH</v>
      </c>
      <c r="W39" s="76" t="s">
        <v>42</v>
      </c>
      <c r="X39" s="27" t="str">
        <f>IF(AI30="","-", IF(AI33="",IF(X10="OFF","request hi",IF(AI36="","request low","request hi")),IF(X10="OFF","call ir_high",IF(AI36="","call ir_low","call ir_high"))))</f>
        <v>-</v>
      </c>
    </row>
    <row r="40" spans="1:36" x14ac:dyDescent="0.15">
      <c r="B40" s="31">
        <v>300</v>
      </c>
      <c r="C40" s="20">
        <f t="shared" si="30"/>
        <v>40550400</v>
      </c>
      <c r="D40" s="2" t="s">
        <v>142</v>
      </c>
      <c r="E40" s="10" t="str">
        <f t="shared" ref="E40:E53" si="35">CONCATENATE(DEC2HEX(C40/B40/16-0.5,5),"H")</f>
        <v>020FFH</v>
      </c>
      <c r="F40" s="10" t="str">
        <f t="shared" ref="F40:F53" si="36">CONCATENATE(DEC2HEX(C40/B40/4-0.5,5),"H")</f>
        <v>083FFH</v>
      </c>
      <c r="G40" s="15">
        <f t="shared" si="31"/>
        <v>300</v>
      </c>
      <c r="H40" s="2" t="s">
        <v>2</v>
      </c>
      <c r="I40" s="15">
        <f t="shared" ref="I40:I45" si="37">C40/(4*(HEX2DEC(MID(F40,2,4))+1))</f>
        <v>300</v>
      </c>
      <c r="J40" s="2" t="s">
        <v>2</v>
      </c>
      <c r="K40" s="25" t="str">
        <f t="shared" ref="K40:K53" si="38">IF(LEFT(R40,1)="0",RIGHT(R40,6),"-")</f>
        <v>083FFH</v>
      </c>
      <c r="L40" s="27" t="str">
        <f t="shared" ref="L40:L53" si="39">IF(LEFT(R40,1)="0",IF( ABS(IF(P40="OVER 5%",99,P40)) &lt; ABS(IF(Q40="OVER 5%",99,Q40)),"Low","High"),"-")</f>
        <v>High</v>
      </c>
      <c r="M40" s="37">
        <f t="shared" si="32"/>
        <v>300</v>
      </c>
      <c r="N40" t="str">
        <f t="shared" si="33"/>
        <v>bps</v>
      </c>
      <c r="O40" s="13" t="str">
        <f t="shared" si="34"/>
        <v/>
      </c>
      <c r="P40" s="22">
        <f t="shared" ref="P40:P53" si="40">IF((G40-B40)/B40*100&gt;5,"OVER 5%",(G40-B40)/B40*100)</f>
        <v>0</v>
      </c>
      <c r="Q40" s="23">
        <f t="shared" ref="Q40:Q45" si="41">IF((I40-B40)/B40*100&gt;5,"OVER 5%",(I40-B40)/B40*100)</f>
        <v>0</v>
      </c>
      <c r="R40" s="1" t="str">
        <f t="shared" ref="R40:R53" si="42">IF( ABS(IF(P40="OVER 5%",99,P40)) &lt; ABS(IF(Q40="OVER 5%",99,Q40)),E40,F40)</f>
        <v>083FFH</v>
      </c>
      <c r="W40" s="76" t="s">
        <v>42</v>
      </c>
      <c r="X40" s="27" t="str">
        <f>IF(AJ30="","-", IF(AJ33="",IF(X10="OFF","request hi",IF(AJ36="","request low","request hi")),IF(X10="OFF","call ir_high",IF(AJ36="","call ir_low","call ir_high"))))</f>
        <v>-</v>
      </c>
    </row>
    <row r="41" spans="1:36" x14ac:dyDescent="0.15">
      <c r="B41" s="31">
        <v>600</v>
      </c>
      <c r="C41" s="20">
        <f t="shared" si="30"/>
        <v>40550400</v>
      </c>
      <c r="D41" s="2" t="s">
        <v>142</v>
      </c>
      <c r="E41" s="10" t="str">
        <f t="shared" si="35"/>
        <v>0107FH</v>
      </c>
      <c r="F41" s="10" t="str">
        <f t="shared" si="36"/>
        <v>041FFH</v>
      </c>
      <c r="G41" s="15">
        <f t="shared" si="31"/>
        <v>600</v>
      </c>
      <c r="H41" s="2" t="s">
        <v>2</v>
      </c>
      <c r="I41" s="15">
        <f t="shared" si="37"/>
        <v>600</v>
      </c>
      <c r="J41" s="2" t="s">
        <v>2</v>
      </c>
      <c r="K41" s="25" t="str">
        <f t="shared" si="38"/>
        <v>041FFH</v>
      </c>
      <c r="L41" s="27" t="str">
        <f t="shared" si="39"/>
        <v>High</v>
      </c>
      <c r="M41" s="37">
        <f t="shared" si="32"/>
        <v>600</v>
      </c>
      <c r="N41" t="str">
        <f t="shared" si="33"/>
        <v>bps</v>
      </c>
      <c r="O41" s="13" t="str">
        <f t="shared" si="34"/>
        <v/>
      </c>
      <c r="P41" s="22">
        <f t="shared" si="40"/>
        <v>0</v>
      </c>
      <c r="Q41" s="23">
        <f t="shared" si="41"/>
        <v>0</v>
      </c>
      <c r="R41" s="1" t="str">
        <f t="shared" si="42"/>
        <v>041FFH</v>
      </c>
    </row>
    <row r="42" spans="1:36" x14ac:dyDescent="0.15">
      <c r="B42" s="31">
        <v>1200</v>
      </c>
      <c r="C42" s="20">
        <f t="shared" si="30"/>
        <v>40550400</v>
      </c>
      <c r="D42" s="2" t="s">
        <v>142</v>
      </c>
      <c r="E42" s="10" t="str">
        <f t="shared" si="35"/>
        <v>0083FH</v>
      </c>
      <c r="F42" s="10" t="str">
        <f t="shared" si="36"/>
        <v>020FFH</v>
      </c>
      <c r="G42" s="15">
        <f t="shared" si="31"/>
        <v>1200</v>
      </c>
      <c r="H42" s="2" t="s">
        <v>2</v>
      </c>
      <c r="I42" s="15">
        <f t="shared" si="37"/>
        <v>1200</v>
      </c>
      <c r="J42" s="2" t="s">
        <v>2</v>
      </c>
      <c r="K42" s="25" t="str">
        <f t="shared" si="38"/>
        <v>020FFH</v>
      </c>
      <c r="L42" s="27" t="str">
        <f t="shared" si="39"/>
        <v>High</v>
      </c>
      <c r="M42" s="37">
        <f t="shared" si="32"/>
        <v>1200</v>
      </c>
      <c r="N42" t="str">
        <f t="shared" si="33"/>
        <v>bps</v>
      </c>
      <c r="O42" s="13" t="str">
        <f t="shared" si="34"/>
        <v/>
      </c>
      <c r="P42" s="22">
        <f t="shared" si="40"/>
        <v>0</v>
      </c>
      <c r="Q42" s="23">
        <f t="shared" si="41"/>
        <v>0</v>
      </c>
      <c r="R42" s="1" t="str">
        <f t="shared" si="42"/>
        <v>020FFH</v>
      </c>
    </row>
    <row r="43" spans="1:36" x14ac:dyDescent="0.15">
      <c r="B43" s="31">
        <v>2400</v>
      </c>
      <c r="C43" s="20">
        <f t="shared" si="30"/>
        <v>40550400</v>
      </c>
      <c r="D43" s="2" t="s">
        <v>142</v>
      </c>
      <c r="E43" s="10" t="str">
        <f t="shared" si="35"/>
        <v>0041FH</v>
      </c>
      <c r="F43" s="10" t="str">
        <f t="shared" si="36"/>
        <v>0107FH</v>
      </c>
      <c r="G43" s="15">
        <f t="shared" si="31"/>
        <v>2400</v>
      </c>
      <c r="H43" s="2" t="s">
        <v>2</v>
      </c>
      <c r="I43" s="15">
        <f t="shared" si="37"/>
        <v>2400</v>
      </c>
      <c r="J43" s="2" t="s">
        <v>2</v>
      </c>
      <c r="K43" s="25" t="str">
        <f t="shared" si="38"/>
        <v>0107FH</v>
      </c>
      <c r="L43" s="27" t="str">
        <f t="shared" si="39"/>
        <v>High</v>
      </c>
      <c r="M43" s="37">
        <f t="shared" si="32"/>
        <v>2400</v>
      </c>
      <c r="N43" t="str">
        <f t="shared" si="33"/>
        <v>bps</v>
      </c>
      <c r="O43" s="13" t="str">
        <f t="shared" si="34"/>
        <v/>
      </c>
      <c r="P43" s="22">
        <f t="shared" si="40"/>
        <v>0</v>
      </c>
      <c r="Q43" s="23">
        <f t="shared" si="41"/>
        <v>0</v>
      </c>
      <c r="R43" s="1" t="str">
        <f t="shared" si="42"/>
        <v>0107FH</v>
      </c>
    </row>
    <row r="44" spans="1:36" x14ac:dyDescent="0.15">
      <c r="B44" s="31">
        <v>4800</v>
      </c>
      <c r="C44" s="20">
        <f t="shared" si="30"/>
        <v>40550400</v>
      </c>
      <c r="D44" s="2" t="s">
        <v>142</v>
      </c>
      <c r="E44" s="10" t="str">
        <f t="shared" si="35"/>
        <v>0020FH</v>
      </c>
      <c r="F44" s="10" t="str">
        <f t="shared" si="36"/>
        <v>0083FH</v>
      </c>
      <c r="G44" s="15">
        <f t="shared" si="31"/>
        <v>4800</v>
      </c>
      <c r="H44" s="2" t="s">
        <v>2</v>
      </c>
      <c r="I44" s="15">
        <f t="shared" si="37"/>
        <v>4800</v>
      </c>
      <c r="J44" s="2" t="s">
        <v>2</v>
      </c>
      <c r="K44" s="25" t="str">
        <f t="shared" si="38"/>
        <v>0083FH</v>
      </c>
      <c r="L44" s="27" t="str">
        <f t="shared" si="39"/>
        <v>High</v>
      </c>
      <c r="M44" s="37">
        <f t="shared" si="32"/>
        <v>4800</v>
      </c>
      <c r="N44" t="str">
        <f t="shared" si="33"/>
        <v>bps</v>
      </c>
      <c r="O44" s="13" t="str">
        <f t="shared" si="34"/>
        <v/>
      </c>
      <c r="P44" s="22">
        <f t="shared" si="40"/>
        <v>0</v>
      </c>
      <c r="Q44" s="23">
        <f t="shared" si="41"/>
        <v>0</v>
      </c>
      <c r="R44" s="1" t="str">
        <f t="shared" si="42"/>
        <v>0083FH</v>
      </c>
    </row>
    <row r="45" spans="1:36" x14ac:dyDescent="0.15">
      <c r="B45" s="31">
        <v>9600</v>
      </c>
      <c r="C45" s="20">
        <f t="shared" si="30"/>
        <v>40550400</v>
      </c>
      <c r="D45" s="2" t="s">
        <v>142</v>
      </c>
      <c r="E45" s="10" t="str">
        <f t="shared" si="35"/>
        <v>00107H</v>
      </c>
      <c r="F45" s="10" t="str">
        <f t="shared" si="36"/>
        <v>0041FH</v>
      </c>
      <c r="G45" s="15">
        <f t="shared" si="31"/>
        <v>9600</v>
      </c>
      <c r="H45" s="2" t="s">
        <v>2</v>
      </c>
      <c r="I45" s="15">
        <f t="shared" si="37"/>
        <v>9600</v>
      </c>
      <c r="J45" s="2" t="s">
        <v>2</v>
      </c>
      <c r="K45" s="25" t="str">
        <f t="shared" si="38"/>
        <v>0041FH</v>
      </c>
      <c r="L45" s="27" t="str">
        <f t="shared" si="39"/>
        <v>High</v>
      </c>
      <c r="M45" s="37">
        <f t="shared" si="32"/>
        <v>9600</v>
      </c>
      <c r="N45" t="str">
        <f t="shared" si="33"/>
        <v>bps</v>
      </c>
      <c r="O45" s="13" t="str">
        <f t="shared" si="34"/>
        <v/>
      </c>
      <c r="P45" s="22">
        <f t="shared" si="40"/>
        <v>0</v>
      </c>
      <c r="Q45" s="23">
        <f t="shared" si="41"/>
        <v>0</v>
      </c>
      <c r="R45" s="1" t="str">
        <f t="shared" si="42"/>
        <v>0041FH</v>
      </c>
    </row>
    <row r="46" spans="1:36" x14ac:dyDescent="0.15">
      <c r="B46" s="31">
        <v>14400</v>
      </c>
      <c r="C46" s="20">
        <f t="shared" si="30"/>
        <v>40550400</v>
      </c>
      <c r="D46" s="2" t="s">
        <v>142</v>
      </c>
      <c r="E46" s="10" t="str">
        <f t="shared" si="35"/>
        <v>000AFH</v>
      </c>
      <c r="F46" s="10" t="str">
        <f t="shared" si="36"/>
        <v>002BFH</v>
      </c>
      <c r="G46" s="15">
        <f t="shared" ref="G46:G52" si="43">C46/(16*(HEX2DEC(MID(E46,2,4))+1))/1000</f>
        <v>14.4</v>
      </c>
      <c r="H46" s="2" t="s">
        <v>39</v>
      </c>
      <c r="I46" s="15">
        <f t="shared" ref="I46:I52" si="44">C46/(4*(HEX2DEC(MID(F46,2,4))+1))/1000</f>
        <v>14.4</v>
      </c>
      <c r="J46" s="2" t="s">
        <v>39</v>
      </c>
      <c r="K46" s="25" t="str">
        <f t="shared" si="38"/>
        <v>002BFH</v>
      </c>
      <c r="L46" s="27" t="str">
        <f t="shared" si="39"/>
        <v>High</v>
      </c>
      <c r="M46" s="37">
        <f t="shared" si="32"/>
        <v>14.4</v>
      </c>
      <c r="N46" t="str">
        <f t="shared" si="33"/>
        <v>Kbps</v>
      </c>
      <c r="O46" s="13" t="str">
        <f t="shared" si="34"/>
        <v/>
      </c>
      <c r="P46" s="22">
        <f t="shared" ref="P46:P52" si="45">IF((G46*1000-B46)/B46*100&gt;5,"OVER 5%",(G46*1000-B46)/B46*100)</f>
        <v>0</v>
      </c>
      <c r="Q46" s="23">
        <f>IF((I46*1000-B46)/B46*100&gt;5,"OVER 5%",(I46*1000-B46)/B46*100)</f>
        <v>0</v>
      </c>
      <c r="R46" s="1" t="str">
        <f t="shared" si="42"/>
        <v>002BFH</v>
      </c>
    </row>
    <row r="47" spans="1:36" x14ac:dyDescent="0.15">
      <c r="B47" s="31">
        <v>19200</v>
      </c>
      <c r="C47" s="20">
        <f t="shared" si="30"/>
        <v>40550400</v>
      </c>
      <c r="D47" s="2" t="s">
        <v>142</v>
      </c>
      <c r="E47" s="10" t="str">
        <f t="shared" si="35"/>
        <v>00083H</v>
      </c>
      <c r="F47" s="10" t="str">
        <f t="shared" si="36"/>
        <v>0020FH</v>
      </c>
      <c r="G47" s="15">
        <f t="shared" si="43"/>
        <v>19.2</v>
      </c>
      <c r="H47" s="2" t="s">
        <v>39</v>
      </c>
      <c r="I47" s="15">
        <f t="shared" si="44"/>
        <v>19.2</v>
      </c>
      <c r="J47" s="2" t="s">
        <v>39</v>
      </c>
      <c r="K47" s="25" t="str">
        <f t="shared" si="38"/>
        <v>0020FH</v>
      </c>
      <c r="L47" s="27" t="str">
        <f t="shared" si="39"/>
        <v>High</v>
      </c>
      <c r="M47" s="37">
        <f t="shared" si="32"/>
        <v>19.2</v>
      </c>
      <c r="N47" t="str">
        <f t="shared" si="33"/>
        <v>Kbps</v>
      </c>
      <c r="O47" s="13" t="str">
        <f t="shared" si="34"/>
        <v/>
      </c>
      <c r="P47" s="22">
        <f t="shared" si="45"/>
        <v>0</v>
      </c>
      <c r="Q47" s="23">
        <f t="shared" ref="Q47:Q54" si="46">IF((I47*1000-B47)/B47*100&gt;5,"OVER 5%",(I47*1000-B47)/B47*100)</f>
        <v>0</v>
      </c>
      <c r="R47" s="1" t="str">
        <f t="shared" si="42"/>
        <v>0020FH</v>
      </c>
    </row>
    <row r="48" spans="1:36" x14ac:dyDescent="0.15">
      <c r="B48" s="31">
        <v>38400</v>
      </c>
      <c r="C48" s="20">
        <f t="shared" si="30"/>
        <v>40550400</v>
      </c>
      <c r="D48" s="2" t="s">
        <v>142</v>
      </c>
      <c r="E48" s="10" t="str">
        <f t="shared" si="35"/>
        <v>00041H</v>
      </c>
      <c r="F48" s="10" t="str">
        <f t="shared" si="36"/>
        <v>00107H</v>
      </c>
      <c r="G48" s="15">
        <f t="shared" si="43"/>
        <v>38.4</v>
      </c>
      <c r="H48" s="2" t="s">
        <v>39</v>
      </c>
      <c r="I48" s="15">
        <f t="shared" si="44"/>
        <v>38.4</v>
      </c>
      <c r="J48" s="2" t="s">
        <v>39</v>
      </c>
      <c r="K48" s="25" t="str">
        <f t="shared" si="38"/>
        <v>00107H</v>
      </c>
      <c r="L48" s="27" t="str">
        <f t="shared" si="39"/>
        <v>High</v>
      </c>
      <c r="M48" s="37">
        <f t="shared" si="32"/>
        <v>38.4</v>
      </c>
      <c r="N48" t="str">
        <f t="shared" si="33"/>
        <v>Kbps</v>
      </c>
      <c r="O48" s="13" t="str">
        <f t="shared" si="34"/>
        <v/>
      </c>
      <c r="P48" s="22">
        <f t="shared" si="45"/>
        <v>0</v>
      </c>
      <c r="Q48" s="23">
        <f t="shared" si="46"/>
        <v>0</v>
      </c>
      <c r="R48" s="1" t="str">
        <f t="shared" si="42"/>
        <v>00107H</v>
      </c>
    </row>
    <row r="49" spans="1:18" x14ac:dyDescent="0.15">
      <c r="B49" s="31">
        <v>57600</v>
      </c>
      <c r="C49" s="20">
        <f t="shared" si="30"/>
        <v>40550400</v>
      </c>
      <c r="D49" s="2" t="s">
        <v>142</v>
      </c>
      <c r="E49" s="10" t="str">
        <f t="shared" si="35"/>
        <v>0002BH</v>
      </c>
      <c r="F49" s="10" t="str">
        <f t="shared" si="36"/>
        <v>000AFH</v>
      </c>
      <c r="G49" s="15">
        <f t="shared" si="43"/>
        <v>57.6</v>
      </c>
      <c r="H49" s="2" t="s">
        <v>39</v>
      </c>
      <c r="I49" s="15">
        <f t="shared" si="44"/>
        <v>57.6</v>
      </c>
      <c r="J49" s="2" t="s">
        <v>39</v>
      </c>
      <c r="K49" s="25" t="str">
        <f t="shared" si="38"/>
        <v>000AFH</v>
      </c>
      <c r="L49" s="27" t="str">
        <f t="shared" si="39"/>
        <v>High</v>
      </c>
      <c r="M49" s="37">
        <f t="shared" si="32"/>
        <v>57.6</v>
      </c>
      <c r="N49" t="str">
        <f t="shared" si="33"/>
        <v>Kbps</v>
      </c>
      <c r="O49" s="13" t="str">
        <f t="shared" si="34"/>
        <v/>
      </c>
      <c r="P49" s="22">
        <f t="shared" si="45"/>
        <v>0</v>
      </c>
      <c r="Q49" s="23">
        <f t="shared" si="46"/>
        <v>0</v>
      </c>
      <c r="R49" s="1" t="str">
        <f t="shared" si="42"/>
        <v>000AFH</v>
      </c>
    </row>
    <row r="50" spans="1:18" x14ac:dyDescent="0.15">
      <c r="B50" s="31">
        <v>115200</v>
      </c>
      <c r="C50" s="20">
        <f t="shared" si="30"/>
        <v>40550400</v>
      </c>
      <c r="D50" s="2" t="s">
        <v>142</v>
      </c>
      <c r="E50" s="10" t="str">
        <f t="shared" si="35"/>
        <v>00015H</v>
      </c>
      <c r="F50" s="10" t="str">
        <f t="shared" si="36"/>
        <v>00057H</v>
      </c>
      <c r="G50" s="15">
        <f t="shared" si="43"/>
        <v>115.2</v>
      </c>
      <c r="H50" s="2" t="s">
        <v>39</v>
      </c>
      <c r="I50" s="15">
        <f t="shared" si="44"/>
        <v>115.2</v>
      </c>
      <c r="J50" s="2" t="s">
        <v>39</v>
      </c>
      <c r="K50" s="25" t="str">
        <f t="shared" si="38"/>
        <v>00057H</v>
      </c>
      <c r="L50" s="27" t="str">
        <f t="shared" si="39"/>
        <v>High</v>
      </c>
      <c r="M50" s="37">
        <f t="shared" si="32"/>
        <v>115.2</v>
      </c>
      <c r="N50" t="str">
        <f t="shared" si="33"/>
        <v>Kbps</v>
      </c>
      <c r="O50" s="13" t="str">
        <f t="shared" si="34"/>
        <v/>
      </c>
      <c r="P50" s="22">
        <f t="shared" si="45"/>
        <v>0</v>
      </c>
      <c r="Q50" s="23">
        <f t="shared" si="46"/>
        <v>0</v>
      </c>
      <c r="R50" s="1" t="str">
        <f t="shared" si="42"/>
        <v>00057H</v>
      </c>
    </row>
    <row r="51" spans="1:18" x14ac:dyDescent="0.15">
      <c r="B51" s="31">
        <v>128000</v>
      </c>
      <c r="C51" s="20">
        <f t="shared" si="30"/>
        <v>40550400</v>
      </c>
      <c r="D51" s="2" t="s">
        <v>142</v>
      </c>
      <c r="E51" s="10" t="str">
        <f t="shared" si="35"/>
        <v>00013H</v>
      </c>
      <c r="F51" s="10" t="str">
        <f t="shared" si="36"/>
        <v>0004EH</v>
      </c>
      <c r="G51" s="15">
        <f t="shared" si="43"/>
        <v>126.72</v>
      </c>
      <c r="H51" s="2" t="s">
        <v>39</v>
      </c>
      <c r="I51" s="15">
        <f t="shared" si="44"/>
        <v>128.32405063291139</v>
      </c>
      <c r="J51" s="2" t="s">
        <v>39</v>
      </c>
      <c r="K51" s="25" t="str">
        <f t="shared" si="38"/>
        <v>0004EH</v>
      </c>
      <c r="L51" s="27" t="str">
        <f t="shared" si="39"/>
        <v>High</v>
      </c>
      <c r="M51" s="37">
        <f t="shared" si="32"/>
        <v>128.32405063291139</v>
      </c>
      <c r="N51" t="str">
        <f t="shared" si="33"/>
        <v>Kbps</v>
      </c>
      <c r="O51" s="13" t="str">
        <f t="shared" si="34"/>
        <v>0.25%</v>
      </c>
      <c r="P51" s="22">
        <f t="shared" si="45"/>
        <v>-1</v>
      </c>
      <c r="Q51" s="23">
        <f t="shared" si="46"/>
        <v>0.25316455696203094</v>
      </c>
      <c r="R51" s="1" t="str">
        <f t="shared" si="42"/>
        <v>0004EH</v>
      </c>
    </row>
    <row r="52" spans="1:18" ht="14.25" thickBot="1" x14ac:dyDescent="0.2">
      <c r="B52" s="31">
        <v>256000</v>
      </c>
      <c r="C52" s="20">
        <f t="shared" si="30"/>
        <v>40550400</v>
      </c>
      <c r="D52" s="2" t="s">
        <v>142</v>
      </c>
      <c r="E52" s="10" t="str">
        <f t="shared" si="35"/>
        <v>00009H</v>
      </c>
      <c r="F52" s="10" t="str">
        <f t="shared" si="36"/>
        <v>00027H</v>
      </c>
      <c r="G52" s="15">
        <f t="shared" si="43"/>
        <v>253.44</v>
      </c>
      <c r="H52" s="2" t="s">
        <v>39</v>
      </c>
      <c r="I52" s="15">
        <f t="shared" si="44"/>
        <v>253.44</v>
      </c>
      <c r="J52" s="2" t="s">
        <v>39</v>
      </c>
      <c r="K52" s="25" t="str">
        <f t="shared" si="38"/>
        <v>00027H</v>
      </c>
      <c r="L52" s="27" t="str">
        <f t="shared" si="39"/>
        <v>High</v>
      </c>
      <c r="M52" s="37">
        <f t="shared" si="32"/>
        <v>253.44</v>
      </c>
      <c r="N52" t="str">
        <f t="shared" si="33"/>
        <v>Kbps</v>
      </c>
      <c r="O52" s="13" t="str">
        <f t="shared" si="34"/>
        <v>1.00%</v>
      </c>
      <c r="P52" s="22">
        <f t="shared" si="45"/>
        <v>-1</v>
      </c>
      <c r="Q52" s="23">
        <f t="shared" si="46"/>
        <v>-1</v>
      </c>
      <c r="R52" s="1" t="str">
        <f t="shared" si="42"/>
        <v>00027H</v>
      </c>
    </row>
    <row r="53" spans="1:18" ht="14.25" thickBot="1" x14ac:dyDescent="0.2">
      <c r="A53" s="1" t="s">
        <v>46</v>
      </c>
      <c r="B53" s="19">
        <v>2440</v>
      </c>
      <c r="C53" s="20">
        <f t="shared" si="30"/>
        <v>40550400</v>
      </c>
      <c r="D53" s="2" t="s">
        <v>142</v>
      </c>
      <c r="E53" s="10" t="str">
        <f t="shared" si="35"/>
        <v>0040EH</v>
      </c>
      <c r="F53" s="10" t="str">
        <f t="shared" si="36"/>
        <v>0103AH</v>
      </c>
      <c r="G53" s="15">
        <f>C53/(16*(HEX2DEC(MID(E53,2,4))+1))</f>
        <v>2439.2685274302212</v>
      </c>
      <c r="H53" s="2" t="s">
        <v>2</v>
      </c>
      <c r="I53" s="15">
        <f>C53/(4*(HEX2DEC(MID(F53,2,4))+1))</f>
        <v>2439.8555956678701</v>
      </c>
      <c r="J53" s="2" t="s">
        <v>2</v>
      </c>
      <c r="K53" s="25" t="str">
        <f t="shared" si="38"/>
        <v>0103AH</v>
      </c>
      <c r="L53" s="27" t="str">
        <f t="shared" si="39"/>
        <v>High</v>
      </c>
      <c r="M53" s="37">
        <f t="shared" si="32"/>
        <v>2439.8555956678701</v>
      </c>
      <c r="N53" t="str">
        <f t="shared" si="33"/>
        <v>bps</v>
      </c>
      <c r="O53" s="13" t="str">
        <f t="shared" si="34"/>
        <v/>
      </c>
      <c r="P53" s="22">
        <f t="shared" si="40"/>
        <v>-2.997838400732853E-2</v>
      </c>
      <c r="Q53" s="23">
        <f>IF((I53-B53)/B53*100&gt;5,"OVER 5%",(I53-B53)/B53*100)</f>
        <v>-5.918210333190667E-3</v>
      </c>
      <c r="R53" s="1" t="str">
        <f t="shared" si="42"/>
        <v>0103AH</v>
      </c>
    </row>
    <row r="54" spans="1:18" x14ac:dyDescent="0.15">
      <c r="A54" s="1" t="s">
        <v>45</v>
      </c>
      <c r="B54" s="30">
        <f>INT(I54/10)*10000</f>
        <v>10130000</v>
      </c>
      <c r="C54" s="20">
        <f t="shared" si="30"/>
        <v>40550400</v>
      </c>
      <c r="D54" s="2" t="s">
        <v>142</v>
      </c>
      <c r="F54" s="21" t="s">
        <v>97</v>
      </c>
      <c r="I54" s="15">
        <f>C54/(4*(HEX2DEC(MID(F54,2,4))+1))/1000</f>
        <v>10137.6</v>
      </c>
      <c r="J54" s="2" t="s">
        <v>39</v>
      </c>
      <c r="K54" s="27" t="str">
        <f>RIGHT(F54,6)</f>
        <v>00000H</v>
      </c>
      <c r="L54" s="27" t="s">
        <v>49</v>
      </c>
      <c r="M54" s="37">
        <f t="shared" si="32"/>
        <v>10137.6</v>
      </c>
      <c r="N54" t="str">
        <f t="shared" si="33"/>
        <v>Kbps</v>
      </c>
      <c r="O54" s="13" t="str">
        <f t="shared" si="34"/>
        <v/>
      </c>
      <c r="P54" s="10" t="s">
        <v>43</v>
      </c>
      <c r="Q54" s="23">
        <f t="shared" si="46"/>
        <v>7.5024679170779859E-2</v>
      </c>
      <c r="R54" s="1" t="str">
        <f>F54</f>
        <v>00000H</v>
      </c>
    </row>
    <row r="56" spans="1:18" x14ac:dyDescent="0.15">
      <c r="A56" t="s">
        <v>94</v>
      </c>
      <c r="B56" s="47" t="s">
        <v>151</v>
      </c>
      <c r="C56" s="10" t="s">
        <v>35</v>
      </c>
      <c r="D56" s="10"/>
      <c r="E56" s="10" t="s">
        <v>3</v>
      </c>
      <c r="F56" s="10" t="s">
        <v>38</v>
      </c>
      <c r="G56" s="10" t="s">
        <v>3</v>
      </c>
      <c r="H56" s="10"/>
      <c r="I56" s="10" t="s">
        <v>4</v>
      </c>
      <c r="J56" s="10"/>
      <c r="K56" s="29" t="s">
        <v>54</v>
      </c>
      <c r="L56" s="29" t="s">
        <v>55</v>
      </c>
      <c r="M56" s="10" t="s">
        <v>6</v>
      </c>
      <c r="O56" s="14" t="s">
        <v>33</v>
      </c>
      <c r="P56" s="10" t="s">
        <v>40</v>
      </c>
      <c r="Q56" s="10" t="s">
        <v>41</v>
      </c>
      <c r="R56" s="10" t="s">
        <v>52</v>
      </c>
    </row>
    <row r="57" spans="1:18" x14ac:dyDescent="0.15">
      <c r="A57" s="1" t="s">
        <v>44</v>
      </c>
      <c r="B57" s="30">
        <f>INT(G57/100)*100</f>
        <v>2400</v>
      </c>
      <c r="C57" s="20">
        <f t="shared" ref="C57:C72" si="47">$C$9</f>
        <v>40550400</v>
      </c>
      <c r="D57" s="2" t="s">
        <v>142</v>
      </c>
      <c r="E57" s="21" t="s">
        <v>36</v>
      </c>
      <c r="F57" s="10"/>
      <c r="G57" s="15">
        <f t="shared" ref="G57:G71" si="48">C57/(64*(HEX2DEC(MID(E57,3,2))+1))</f>
        <v>2475</v>
      </c>
      <c r="H57" s="2" t="s">
        <v>2</v>
      </c>
      <c r="K57" s="27" t="str">
        <f>RIGHT(E57,4)</f>
        <v>0FFH</v>
      </c>
      <c r="L57" s="27" t="s">
        <v>48</v>
      </c>
      <c r="M57" s="37">
        <f t="shared" ref="M57:M72" si="49">IF(K57="-","-",IF(C57/(IF(L57="Low",64,16)*(HEX2DEC(MID(K57,2,2))+1))&gt;10000,C57/(IF(L57="Low",64,16)*(HEX2DEC(MID(K57,2,2))+1))/1000,C57/(IF(L57="Low",64,16)*(HEX2DEC(MID(K57,2,2))+1))))</f>
        <v>2475</v>
      </c>
      <c r="N57" t="str">
        <f t="shared" ref="N57:N72" si="50">IF(K57="-","bps",IF(C57/(IF(L57="Low",64,16)*(HEX2DEC(MID(K57,2,2))+1))&gt;10000,"Kbps","bps"))</f>
        <v>bps</v>
      </c>
      <c r="O57" s="13" t="str">
        <f t="shared" ref="O57:O72" si="51">IF(M57="-","-",IF(ABS((M57*(IF(N57="Kbps",1000,1))-B57)/B57*100)&gt;0.1,CONCATENATE(FIXED(ABS((M57*(IF(N57="Kbps",1000,1))-B57)/B57*100),2),"%"),""))</f>
        <v>3.13%</v>
      </c>
      <c r="P57" s="22">
        <f t="shared" ref="P57:P71" si="52">IF((G57-B57)/B57*100&gt;5,"OVER 5%",(G57-B57)/B57*100)</f>
        <v>3.125</v>
      </c>
      <c r="Q57" s="10" t="s">
        <v>42</v>
      </c>
      <c r="R57" s="1" t="str">
        <f>E57</f>
        <v>00FFH</v>
      </c>
    </row>
    <row r="58" spans="1:18" x14ac:dyDescent="0.15">
      <c r="B58" s="31">
        <v>300</v>
      </c>
      <c r="C58" s="20">
        <f t="shared" si="47"/>
        <v>40550400</v>
      </c>
      <c r="D58" s="2" t="s">
        <v>142</v>
      </c>
      <c r="E58" s="10" t="str">
        <f t="shared" ref="E58:E71" si="53">CONCATENATE(DEC2HEX(C58/B58/64-0.5,4),"H")</f>
        <v>083FH</v>
      </c>
      <c r="F58" s="10" t="str">
        <f t="shared" ref="F58:F71" si="54">CONCATENATE(DEC2HEX(C58/B58/16-0.5,4),"H")</f>
        <v>20FFH</v>
      </c>
      <c r="G58" s="15">
        <f t="shared" si="48"/>
        <v>9900</v>
      </c>
      <c r="H58" s="2" t="s">
        <v>2</v>
      </c>
      <c r="I58" s="15">
        <f t="shared" ref="I58:I72" si="55">C58/(16*(HEX2DEC(MID(F58,3,2))+1))/1000</f>
        <v>9.9</v>
      </c>
      <c r="J58" s="2" t="s">
        <v>39</v>
      </c>
      <c r="K58" s="25" t="str">
        <f t="shared" ref="K58:K71" si="56">IF(LEFT(R58,2)="00",RIGHT(R58,4),"-")</f>
        <v>-</v>
      </c>
      <c r="L58" s="27" t="str">
        <f t="shared" ref="L58:L71" si="57">IF(LEFT(R58,2)="00",IF( ABS(IF(P58="OVER 5%",99,P58)) &lt; ABS(IF(Q58="OVER 5%",99,Q58)),"Low","High"),"-")</f>
        <v>-</v>
      </c>
      <c r="M58" s="37" t="str">
        <f t="shared" si="49"/>
        <v>-</v>
      </c>
      <c r="N58" t="str">
        <f t="shared" si="50"/>
        <v>bps</v>
      </c>
      <c r="O58" s="13" t="str">
        <f t="shared" si="51"/>
        <v>-</v>
      </c>
      <c r="P58" s="22" t="str">
        <f t="shared" si="52"/>
        <v>OVER 5%</v>
      </c>
      <c r="Q58" s="23" t="str">
        <f t="shared" ref="Q58:Q72" si="58">IF((I58*1000-B58)/B58*100&gt;5,"OVER 5%",(I58*1000-B58)/B58*100)</f>
        <v>OVER 5%</v>
      </c>
      <c r="R58" s="1" t="str">
        <f t="shared" ref="R58:R71" si="59">IF( ABS(IF(P58="OVER 5%",99,P58)) &lt; ABS(IF(Q58="OVER 5%",99,Q58)),E58,F58)</f>
        <v>20FFH</v>
      </c>
    </row>
    <row r="59" spans="1:18" x14ac:dyDescent="0.15">
      <c r="B59" s="31">
        <v>600</v>
      </c>
      <c r="C59" s="20">
        <f t="shared" si="47"/>
        <v>40550400</v>
      </c>
      <c r="D59" s="2" t="s">
        <v>142</v>
      </c>
      <c r="E59" s="10" t="str">
        <f t="shared" si="53"/>
        <v>041FH</v>
      </c>
      <c r="F59" s="10" t="str">
        <f t="shared" si="54"/>
        <v>107FH</v>
      </c>
      <c r="G59" s="15">
        <f t="shared" si="48"/>
        <v>19800</v>
      </c>
      <c r="H59" s="2" t="s">
        <v>2</v>
      </c>
      <c r="I59" s="15">
        <f t="shared" si="55"/>
        <v>19.8</v>
      </c>
      <c r="J59" s="2" t="s">
        <v>39</v>
      </c>
      <c r="K59" s="25" t="str">
        <f t="shared" si="56"/>
        <v>-</v>
      </c>
      <c r="L59" s="27" t="str">
        <f t="shared" si="57"/>
        <v>-</v>
      </c>
      <c r="M59" s="37" t="str">
        <f t="shared" si="49"/>
        <v>-</v>
      </c>
      <c r="N59" t="str">
        <f t="shared" si="50"/>
        <v>bps</v>
      </c>
      <c r="O59" s="13" t="str">
        <f t="shared" si="51"/>
        <v>-</v>
      </c>
      <c r="P59" s="22" t="str">
        <f t="shared" si="52"/>
        <v>OVER 5%</v>
      </c>
      <c r="Q59" s="23" t="str">
        <f t="shared" si="58"/>
        <v>OVER 5%</v>
      </c>
      <c r="R59" s="1" t="str">
        <f t="shared" si="59"/>
        <v>107FH</v>
      </c>
    </row>
    <row r="60" spans="1:18" x14ac:dyDescent="0.15">
      <c r="B60" s="31">
        <v>1200</v>
      </c>
      <c r="C60" s="20">
        <f t="shared" si="47"/>
        <v>40550400</v>
      </c>
      <c r="D60" s="2" t="s">
        <v>142</v>
      </c>
      <c r="E60" s="10" t="str">
        <f t="shared" si="53"/>
        <v>020FH</v>
      </c>
      <c r="F60" s="10" t="str">
        <f t="shared" si="54"/>
        <v>083FH</v>
      </c>
      <c r="G60" s="15">
        <f t="shared" si="48"/>
        <v>39600</v>
      </c>
      <c r="H60" s="2" t="s">
        <v>2</v>
      </c>
      <c r="I60" s="15">
        <f t="shared" si="55"/>
        <v>39.6</v>
      </c>
      <c r="J60" s="2" t="s">
        <v>39</v>
      </c>
      <c r="K60" s="25" t="str">
        <f t="shared" si="56"/>
        <v>-</v>
      </c>
      <c r="L60" s="27" t="str">
        <f t="shared" si="57"/>
        <v>-</v>
      </c>
      <c r="M60" s="37" t="str">
        <f t="shared" si="49"/>
        <v>-</v>
      </c>
      <c r="N60" t="str">
        <f t="shared" si="50"/>
        <v>bps</v>
      </c>
      <c r="O60" s="13" t="str">
        <f t="shared" si="51"/>
        <v>-</v>
      </c>
      <c r="P60" s="22" t="str">
        <f t="shared" si="52"/>
        <v>OVER 5%</v>
      </c>
      <c r="Q60" s="23" t="str">
        <f t="shared" si="58"/>
        <v>OVER 5%</v>
      </c>
      <c r="R60" s="1" t="str">
        <f t="shared" si="59"/>
        <v>083FH</v>
      </c>
    </row>
    <row r="61" spans="1:18" x14ac:dyDescent="0.15">
      <c r="B61" s="31">
        <v>2400</v>
      </c>
      <c r="C61" s="20">
        <f t="shared" si="47"/>
        <v>40550400</v>
      </c>
      <c r="D61" s="2" t="s">
        <v>142</v>
      </c>
      <c r="E61" s="10" t="str">
        <f t="shared" si="53"/>
        <v>0107H</v>
      </c>
      <c r="F61" s="10" t="str">
        <f t="shared" si="54"/>
        <v>041FH</v>
      </c>
      <c r="G61" s="15">
        <f t="shared" si="48"/>
        <v>79200</v>
      </c>
      <c r="H61" s="2" t="s">
        <v>2</v>
      </c>
      <c r="I61" s="15">
        <f t="shared" si="55"/>
        <v>79.2</v>
      </c>
      <c r="J61" s="2" t="s">
        <v>39</v>
      </c>
      <c r="K61" s="25" t="str">
        <f t="shared" si="56"/>
        <v>-</v>
      </c>
      <c r="L61" s="27" t="str">
        <f t="shared" si="57"/>
        <v>-</v>
      </c>
      <c r="M61" s="37" t="str">
        <f t="shared" si="49"/>
        <v>-</v>
      </c>
      <c r="N61" t="str">
        <f t="shared" si="50"/>
        <v>bps</v>
      </c>
      <c r="O61" s="13" t="str">
        <f t="shared" si="51"/>
        <v>-</v>
      </c>
      <c r="P61" s="22" t="str">
        <f t="shared" si="52"/>
        <v>OVER 5%</v>
      </c>
      <c r="Q61" s="23" t="str">
        <f t="shared" si="58"/>
        <v>OVER 5%</v>
      </c>
      <c r="R61" s="1" t="str">
        <f t="shared" si="59"/>
        <v>041FH</v>
      </c>
    </row>
    <row r="62" spans="1:18" x14ac:dyDescent="0.15">
      <c r="B62" s="31">
        <v>4800</v>
      </c>
      <c r="C62" s="20">
        <f t="shared" si="47"/>
        <v>40550400</v>
      </c>
      <c r="D62" s="2" t="s">
        <v>142</v>
      </c>
      <c r="E62" s="10" t="str">
        <f t="shared" si="53"/>
        <v>0083H</v>
      </c>
      <c r="F62" s="10" t="str">
        <f t="shared" si="54"/>
        <v>020FH</v>
      </c>
      <c r="G62" s="15">
        <f t="shared" si="48"/>
        <v>4800</v>
      </c>
      <c r="H62" s="2" t="s">
        <v>2</v>
      </c>
      <c r="I62" s="15">
        <f t="shared" si="55"/>
        <v>158.4</v>
      </c>
      <c r="J62" s="2" t="s">
        <v>39</v>
      </c>
      <c r="K62" s="25" t="str">
        <f>IF(LEFT(R62,2)="00",RIGHT(R62,4),"-")</f>
        <v>083H</v>
      </c>
      <c r="L62" s="27" t="str">
        <f t="shared" si="57"/>
        <v>Low</v>
      </c>
      <c r="M62" s="37">
        <f t="shared" si="49"/>
        <v>4800</v>
      </c>
      <c r="N62" t="str">
        <f t="shared" si="50"/>
        <v>bps</v>
      </c>
      <c r="O62" s="13" t="str">
        <f t="shared" si="51"/>
        <v/>
      </c>
      <c r="P62" s="22">
        <f t="shared" si="52"/>
        <v>0</v>
      </c>
      <c r="Q62" s="23" t="str">
        <f t="shared" si="58"/>
        <v>OVER 5%</v>
      </c>
      <c r="R62" s="1" t="str">
        <f t="shared" si="59"/>
        <v>0083H</v>
      </c>
    </row>
    <row r="63" spans="1:18" x14ac:dyDescent="0.15">
      <c r="B63" s="31">
        <v>9600</v>
      </c>
      <c r="C63" s="20">
        <f t="shared" si="47"/>
        <v>40550400</v>
      </c>
      <c r="D63" s="2" t="s">
        <v>142</v>
      </c>
      <c r="E63" s="10" t="str">
        <f t="shared" si="53"/>
        <v>0041H</v>
      </c>
      <c r="F63" s="10" t="str">
        <f t="shared" si="54"/>
        <v>0107H</v>
      </c>
      <c r="G63" s="15">
        <f t="shared" si="48"/>
        <v>9600</v>
      </c>
      <c r="H63" s="2" t="s">
        <v>2</v>
      </c>
      <c r="I63" s="15">
        <f t="shared" si="55"/>
        <v>316.8</v>
      </c>
      <c r="J63" s="2" t="s">
        <v>39</v>
      </c>
      <c r="K63" s="25" t="str">
        <f t="shared" si="56"/>
        <v>041H</v>
      </c>
      <c r="L63" s="27" t="str">
        <f t="shared" si="57"/>
        <v>Low</v>
      </c>
      <c r="M63" s="37">
        <f t="shared" si="49"/>
        <v>9600</v>
      </c>
      <c r="N63" t="str">
        <f t="shared" si="50"/>
        <v>bps</v>
      </c>
      <c r="O63" s="13" t="str">
        <f t="shared" si="51"/>
        <v/>
      </c>
      <c r="P63" s="22">
        <f t="shared" si="52"/>
        <v>0</v>
      </c>
      <c r="Q63" s="23" t="str">
        <f t="shared" si="58"/>
        <v>OVER 5%</v>
      </c>
      <c r="R63" s="1" t="str">
        <f t="shared" si="59"/>
        <v>0041H</v>
      </c>
    </row>
    <row r="64" spans="1:18" x14ac:dyDescent="0.15">
      <c r="B64" s="31">
        <v>14400</v>
      </c>
      <c r="C64" s="20">
        <f t="shared" si="47"/>
        <v>40550400</v>
      </c>
      <c r="D64" s="2" t="s">
        <v>142</v>
      </c>
      <c r="E64" s="10" t="str">
        <f t="shared" si="53"/>
        <v>002BH</v>
      </c>
      <c r="F64" s="10" t="str">
        <f t="shared" si="54"/>
        <v>00AFH</v>
      </c>
      <c r="G64" s="15">
        <f t="shared" si="48"/>
        <v>14400</v>
      </c>
      <c r="H64" s="2" t="s">
        <v>2</v>
      </c>
      <c r="I64" s="15">
        <f t="shared" si="55"/>
        <v>14.4</v>
      </c>
      <c r="J64" s="2" t="s">
        <v>39</v>
      </c>
      <c r="K64" s="25" t="str">
        <f t="shared" si="56"/>
        <v>0AFH</v>
      </c>
      <c r="L64" s="27" t="str">
        <f t="shared" si="57"/>
        <v>High</v>
      </c>
      <c r="M64" s="37">
        <f t="shared" si="49"/>
        <v>14.4</v>
      </c>
      <c r="N64" t="str">
        <f t="shared" si="50"/>
        <v>Kbps</v>
      </c>
      <c r="O64" s="13" t="str">
        <f t="shared" si="51"/>
        <v/>
      </c>
      <c r="P64" s="22">
        <f t="shared" si="52"/>
        <v>0</v>
      </c>
      <c r="Q64" s="23">
        <f t="shared" si="58"/>
        <v>0</v>
      </c>
      <c r="R64" s="1" t="str">
        <f t="shared" si="59"/>
        <v>00AFH</v>
      </c>
    </row>
    <row r="65" spans="1:18" x14ac:dyDescent="0.15">
      <c r="B65" s="31">
        <v>19200</v>
      </c>
      <c r="C65" s="20">
        <f t="shared" si="47"/>
        <v>40550400</v>
      </c>
      <c r="D65" s="2" t="s">
        <v>142</v>
      </c>
      <c r="E65" s="10" t="str">
        <f t="shared" si="53"/>
        <v>0020H</v>
      </c>
      <c r="F65" s="10" t="str">
        <f t="shared" si="54"/>
        <v>0083H</v>
      </c>
      <c r="G65" s="15">
        <f t="shared" si="48"/>
        <v>19200</v>
      </c>
      <c r="H65" s="2" t="s">
        <v>2</v>
      </c>
      <c r="I65" s="15">
        <f t="shared" si="55"/>
        <v>19.2</v>
      </c>
      <c r="J65" s="2" t="s">
        <v>39</v>
      </c>
      <c r="K65" s="25" t="str">
        <f t="shared" si="56"/>
        <v>083H</v>
      </c>
      <c r="L65" s="27" t="str">
        <f t="shared" si="57"/>
        <v>High</v>
      </c>
      <c r="M65" s="37">
        <f t="shared" si="49"/>
        <v>19.2</v>
      </c>
      <c r="N65" t="str">
        <f t="shared" si="50"/>
        <v>Kbps</v>
      </c>
      <c r="O65" s="13" t="str">
        <f t="shared" si="51"/>
        <v/>
      </c>
      <c r="P65" s="22">
        <f t="shared" si="52"/>
        <v>0</v>
      </c>
      <c r="Q65" s="23">
        <f t="shared" si="58"/>
        <v>0</v>
      </c>
      <c r="R65" s="1" t="str">
        <f t="shared" si="59"/>
        <v>0083H</v>
      </c>
    </row>
    <row r="66" spans="1:18" x14ac:dyDescent="0.15">
      <c r="B66" s="31">
        <v>38400</v>
      </c>
      <c r="C66" s="20">
        <f t="shared" si="47"/>
        <v>40550400</v>
      </c>
      <c r="D66" s="2" t="s">
        <v>142</v>
      </c>
      <c r="E66" s="10" t="str">
        <f t="shared" si="53"/>
        <v>0010H</v>
      </c>
      <c r="F66" s="10" t="str">
        <f t="shared" si="54"/>
        <v>0041H</v>
      </c>
      <c r="G66" s="15">
        <f t="shared" si="48"/>
        <v>37270.588235294119</v>
      </c>
      <c r="H66" s="2" t="s">
        <v>2</v>
      </c>
      <c r="I66" s="15">
        <f t="shared" si="55"/>
        <v>38.4</v>
      </c>
      <c r="J66" s="2" t="s">
        <v>39</v>
      </c>
      <c r="K66" s="25" t="str">
        <f t="shared" si="56"/>
        <v>041H</v>
      </c>
      <c r="L66" s="27" t="str">
        <f t="shared" si="57"/>
        <v>High</v>
      </c>
      <c r="M66" s="37">
        <f t="shared" si="49"/>
        <v>38.4</v>
      </c>
      <c r="N66" t="str">
        <f t="shared" si="50"/>
        <v>Kbps</v>
      </c>
      <c r="O66" s="13" t="str">
        <f t="shared" si="51"/>
        <v/>
      </c>
      <c r="P66" s="22">
        <f t="shared" si="52"/>
        <v>-2.941176470588232</v>
      </c>
      <c r="Q66" s="23">
        <f t="shared" si="58"/>
        <v>0</v>
      </c>
      <c r="R66" s="1" t="str">
        <f t="shared" si="59"/>
        <v>0041H</v>
      </c>
    </row>
    <row r="67" spans="1:18" x14ac:dyDescent="0.15">
      <c r="B67" s="31">
        <v>57600</v>
      </c>
      <c r="C67" s="20">
        <f t="shared" si="47"/>
        <v>40550400</v>
      </c>
      <c r="D67" s="2" t="s">
        <v>142</v>
      </c>
      <c r="E67" s="10" t="str">
        <f t="shared" si="53"/>
        <v>000AH</v>
      </c>
      <c r="F67" s="10" t="str">
        <f t="shared" si="54"/>
        <v>002BH</v>
      </c>
      <c r="G67" s="15">
        <f t="shared" si="48"/>
        <v>57600</v>
      </c>
      <c r="H67" s="2" t="s">
        <v>2</v>
      </c>
      <c r="I67" s="15">
        <f t="shared" si="55"/>
        <v>57.6</v>
      </c>
      <c r="J67" s="2" t="s">
        <v>39</v>
      </c>
      <c r="K67" s="25" t="str">
        <f t="shared" si="56"/>
        <v>02BH</v>
      </c>
      <c r="L67" s="27" t="str">
        <f t="shared" si="57"/>
        <v>High</v>
      </c>
      <c r="M67" s="37">
        <f t="shared" si="49"/>
        <v>57.6</v>
      </c>
      <c r="N67" t="str">
        <f t="shared" si="50"/>
        <v>Kbps</v>
      </c>
      <c r="O67" s="13" t="str">
        <f t="shared" si="51"/>
        <v/>
      </c>
      <c r="P67" s="22">
        <f t="shared" si="52"/>
        <v>0</v>
      </c>
      <c r="Q67" s="23">
        <f t="shared" si="58"/>
        <v>0</v>
      </c>
      <c r="R67" s="1" t="str">
        <f t="shared" si="59"/>
        <v>002BH</v>
      </c>
    </row>
    <row r="68" spans="1:18" x14ac:dyDescent="0.15">
      <c r="B68" s="31">
        <v>115200</v>
      </c>
      <c r="C68" s="20">
        <f t="shared" si="47"/>
        <v>40550400</v>
      </c>
      <c r="D68" s="2" t="s">
        <v>142</v>
      </c>
      <c r="E68" s="10" t="str">
        <f t="shared" si="53"/>
        <v>0005H</v>
      </c>
      <c r="F68" s="10" t="str">
        <f t="shared" si="54"/>
        <v>0015H</v>
      </c>
      <c r="G68" s="15">
        <f t="shared" si="48"/>
        <v>105600</v>
      </c>
      <c r="H68" s="2" t="s">
        <v>2</v>
      </c>
      <c r="I68" s="15">
        <f t="shared" si="55"/>
        <v>115.2</v>
      </c>
      <c r="J68" s="2" t="s">
        <v>39</v>
      </c>
      <c r="K68" s="25" t="str">
        <f t="shared" si="56"/>
        <v>015H</v>
      </c>
      <c r="L68" s="27" t="str">
        <f t="shared" si="57"/>
        <v>High</v>
      </c>
      <c r="M68" s="37">
        <f t="shared" si="49"/>
        <v>115.2</v>
      </c>
      <c r="N68" t="str">
        <f t="shared" si="50"/>
        <v>Kbps</v>
      </c>
      <c r="O68" s="13" t="str">
        <f t="shared" si="51"/>
        <v/>
      </c>
      <c r="P68" s="22">
        <f t="shared" si="52"/>
        <v>-8.3333333333333321</v>
      </c>
      <c r="Q68" s="23">
        <f t="shared" si="58"/>
        <v>0</v>
      </c>
      <c r="R68" s="1" t="str">
        <f t="shared" si="59"/>
        <v>0015H</v>
      </c>
    </row>
    <row r="69" spans="1:18" x14ac:dyDescent="0.15">
      <c r="B69" s="31">
        <v>128000</v>
      </c>
      <c r="C69" s="20">
        <f t="shared" si="47"/>
        <v>40550400</v>
      </c>
      <c r="D69" s="2" t="s">
        <v>142</v>
      </c>
      <c r="E69" s="10" t="str">
        <f t="shared" si="53"/>
        <v>0004H</v>
      </c>
      <c r="F69" s="10" t="str">
        <f t="shared" si="54"/>
        <v>0013H</v>
      </c>
      <c r="G69" s="15">
        <f t="shared" si="48"/>
        <v>126720</v>
      </c>
      <c r="H69" s="2" t="s">
        <v>2</v>
      </c>
      <c r="I69" s="15">
        <f t="shared" si="55"/>
        <v>126.72</v>
      </c>
      <c r="J69" s="2" t="s">
        <v>39</v>
      </c>
      <c r="K69" s="25" t="str">
        <f t="shared" si="56"/>
        <v>013H</v>
      </c>
      <c r="L69" s="27" t="str">
        <f t="shared" si="57"/>
        <v>High</v>
      </c>
      <c r="M69" s="37">
        <f t="shared" si="49"/>
        <v>126.72</v>
      </c>
      <c r="N69" t="str">
        <f t="shared" si="50"/>
        <v>Kbps</v>
      </c>
      <c r="O69" s="13" t="str">
        <f t="shared" si="51"/>
        <v>1.00%</v>
      </c>
      <c r="P69" s="22">
        <f t="shared" si="52"/>
        <v>-1</v>
      </c>
      <c r="Q69" s="23">
        <f t="shared" si="58"/>
        <v>-1</v>
      </c>
      <c r="R69" s="1" t="str">
        <f t="shared" si="59"/>
        <v>0013H</v>
      </c>
    </row>
    <row r="70" spans="1:18" ht="14.25" thickBot="1" x14ac:dyDescent="0.2">
      <c r="B70" s="31">
        <v>256000</v>
      </c>
      <c r="C70" s="20">
        <f t="shared" si="47"/>
        <v>40550400</v>
      </c>
      <c r="D70" s="2" t="s">
        <v>142</v>
      </c>
      <c r="E70" s="10" t="str">
        <f t="shared" si="53"/>
        <v>0001H</v>
      </c>
      <c r="F70" s="10" t="str">
        <f t="shared" si="54"/>
        <v>0009H</v>
      </c>
      <c r="G70" s="15">
        <f t="shared" si="48"/>
        <v>316800</v>
      </c>
      <c r="H70" s="2" t="s">
        <v>2</v>
      </c>
      <c r="I70" s="15">
        <f t="shared" si="55"/>
        <v>253.44</v>
      </c>
      <c r="J70" s="2" t="s">
        <v>39</v>
      </c>
      <c r="K70" s="25" t="str">
        <f t="shared" si="56"/>
        <v>009H</v>
      </c>
      <c r="L70" s="27" t="str">
        <f t="shared" si="57"/>
        <v>High</v>
      </c>
      <c r="M70" s="37">
        <f t="shared" si="49"/>
        <v>253.44</v>
      </c>
      <c r="N70" t="str">
        <f t="shared" si="50"/>
        <v>Kbps</v>
      </c>
      <c r="O70" s="13" t="str">
        <f t="shared" si="51"/>
        <v>1.00%</v>
      </c>
      <c r="P70" s="22" t="str">
        <f t="shared" si="52"/>
        <v>OVER 5%</v>
      </c>
      <c r="Q70" s="23">
        <f t="shared" si="58"/>
        <v>-1</v>
      </c>
      <c r="R70" s="1" t="str">
        <f t="shared" si="59"/>
        <v>0009H</v>
      </c>
    </row>
    <row r="71" spans="1:18" ht="14.25" thickBot="1" x14ac:dyDescent="0.2">
      <c r="A71" s="1" t="s">
        <v>46</v>
      </c>
      <c r="B71" s="19">
        <v>2440</v>
      </c>
      <c r="C71" s="20">
        <f t="shared" si="47"/>
        <v>40550400</v>
      </c>
      <c r="D71" s="2" t="s">
        <v>142</v>
      </c>
      <c r="E71" s="10" t="str">
        <f t="shared" si="53"/>
        <v>0103H</v>
      </c>
      <c r="F71" s="10" t="str">
        <f t="shared" si="54"/>
        <v>040EH</v>
      </c>
      <c r="G71" s="15">
        <f t="shared" si="48"/>
        <v>158400</v>
      </c>
      <c r="H71" s="2" t="s">
        <v>2</v>
      </c>
      <c r="I71" s="15">
        <f t="shared" si="55"/>
        <v>168.96</v>
      </c>
      <c r="J71" s="2" t="s">
        <v>39</v>
      </c>
      <c r="K71" s="25" t="str">
        <f t="shared" si="56"/>
        <v>-</v>
      </c>
      <c r="L71" s="27" t="str">
        <f t="shared" si="57"/>
        <v>-</v>
      </c>
      <c r="M71" s="37" t="str">
        <f t="shared" si="49"/>
        <v>-</v>
      </c>
      <c r="N71" t="str">
        <f t="shared" si="50"/>
        <v>bps</v>
      </c>
      <c r="O71" s="13" t="str">
        <f t="shared" si="51"/>
        <v>-</v>
      </c>
      <c r="P71" s="22" t="str">
        <f t="shared" si="52"/>
        <v>OVER 5%</v>
      </c>
      <c r="Q71" s="23" t="str">
        <f t="shared" si="58"/>
        <v>OVER 5%</v>
      </c>
      <c r="R71" s="1" t="str">
        <f t="shared" si="59"/>
        <v>040EH</v>
      </c>
    </row>
    <row r="72" spans="1:18" x14ac:dyDescent="0.15">
      <c r="A72" s="1" t="s">
        <v>45</v>
      </c>
      <c r="B72" s="30">
        <f>INT(I72/10)*10000</f>
        <v>2530000</v>
      </c>
      <c r="C72" s="20">
        <f t="shared" si="47"/>
        <v>40550400</v>
      </c>
      <c r="D72" s="2" t="s">
        <v>142</v>
      </c>
      <c r="E72" s="10"/>
      <c r="F72" s="21" t="s">
        <v>37</v>
      </c>
      <c r="I72" s="15">
        <f t="shared" si="55"/>
        <v>2534.4</v>
      </c>
      <c r="J72" s="2" t="s">
        <v>39</v>
      </c>
      <c r="K72" s="27" t="str">
        <f>RIGHT(F72,4)</f>
        <v>000H</v>
      </c>
      <c r="L72" s="27" t="s">
        <v>49</v>
      </c>
      <c r="M72" s="37">
        <f t="shared" si="49"/>
        <v>2534.4</v>
      </c>
      <c r="N72" t="str">
        <f t="shared" si="50"/>
        <v>Kbps</v>
      </c>
      <c r="O72" s="13" t="str">
        <f t="shared" si="51"/>
        <v>0.17%</v>
      </c>
      <c r="P72" s="10" t="s">
        <v>43</v>
      </c>
      <c r="Q72" s="23">
        <f t="shared" si="58"/>
        <v>0.17391304347826086</v>
      </c>
      <c r="R72" s="1" t="str">
        <f>F72</f>
        <v>0000H</v>
      </c>
    </row>
    <row r="73" spans="1:18" ht="14.25" thickBot="1" x14ac:dyDescent="0.2"/>
    <row r="74" spans="1:18" ht="14.25" thickBot="1" x14ac:dyDescent="0.2">
      <c r="B74" s="47" t="s">
        <v>91</v>
      </c>
      <c r="C74" s="70">
        <f>M24</f>
        <v>198.7764705882353</v>
      </c>
      <c r="D74" s="2" t="s">
        <v>62</v>
      </c>
      <c r="E74" s="1" t="s">
        <v>65</v>
      </c>
      <c r="F74" s="10" t="s">
        <v>66</v>
      </c>
      <c r="G74" s="18">
        <v>256</v>
      </c>
      <c r="H74" t="s">
        <v>64</v>
      </c>
      <c r="J74" s="39">
        <f>M29</f>
        <v>39.6</v>
      </c>
      <c r="K74" s="10" t="s">
        <v>67</v>
      </c>
      <c r="L74" s="10" t="s">
        <v>66</v>
      </c>
      <c r="M74" s="32">
        <f>G74</f>
        <v>256</v>
      </c>
      <c r="N74" t="s">
        <v>64</v>
      </c>
    </row>
    <row r="75" spans="1:18" x14ac:dyDescent="0.15">
      <c r="B75" s="34" t="s">
        <v>71</v>
      </c>
      <c r="C75" s="26" t="str">
        <f>L24</f>
        <v>032H</v>
      </c>
      <c r="I75" s="34" t="s">
        <v>72</v>
      </c>
      <c r="J75" s="30" t="str">
        <f>L29</f>
        <v>0FFH</v>
      </c>
    </row>
    <row r="76" spans="1:18" x14ac:dyDescent="0.15">
      <c r="B76" t="s">
        <v>58</v>
      </c>
      <c r="C76" s="32">
        <v>697</v>
      </c>
      <c r="D76" t="s">
        <v>57</v>
      </c>
      <c r="E76" s="26" t="str">
        <f>CONCATENATE(DEC2HEX(C76/G76*256+0.5,5),"H,")</f>
        <v>000E6H,</v>
      </c>
      <c r="F76" s="1" t="s">
        <v>68</v>
      </c>
      <c r="G76" s="9">
        <f>C74*1000/G74</f>
        <v>776.47058823529414</v>
      </c>
      <c r="H76" t="s">
        <v>31</v>
      </c>
      <c r="J76" s="32">
        <v>697</v>
      </c>
      <c r="K76" s="26" t="str">
        <f>CONCATENATE(DEC2HEX(J76/M76*256+0.5,5),"H,")</f>
        <v>00481H,</v>
      </c>
      <c r="L76" s="1" t="s">
        <v>68</v>
      </c>
      <c r="M76" s="9">
        <f>J74*1000/M74</f>
        <v>154.6875</v>
      </c>
      <c r="N76" t="s">
        <v>31</v>
      </c>
    </row>
    <row r="77" spans="1:18" x14ac:dyDescent="0.15">
      <c r="B77" t="s">
        <v>59</v>
      </c>
      <c r="C77" s="32">
        <v>770</v>
      </c>
      <c r="D77" t="s">
        <v>57</v>
      </c>
      <c r="E77" s="26" t="str">
        <f>CONCATENATE(DEC2HEX(C77/G76*256+0.5,5),"H,")</f>
        <v>000FEH,</v>
      </c>
      <c r="J77" s="32">
        <v>770</v>
      </c>
      <c r="K77" s="26" t="str">
        <f>CONCATENATE(DEC2HEX(J77/M76*256+0.5,5),"H,")</f>
        <v>004FAH,</v>
      </c>
    </row>
    <row r="78" spans="1:18" x14ac:dyDescent="0.15">
      <c r="B78" t="s">
        <v>60</v>
      </c>
      <c r="C78" s="32">
        <v>852</v>
      </c>
      <c r="D78" t="s">
        <v>57</v>
      </c>
      <c r="E78" s="26" t="str">
        <f>CONCATENATE(DEC2HEX(C78/G76*256+0.5,5),"H,")</f>
        <v>00119H,</v>
      </c>
      <c r="F78" s="1" t="s">
        <v>69</v>
      </c>
      <c r="G78" s="26" t="str">
        <f>CONCATENATE(DEC2HEX(1/G76*256*256*256+0.5,6),"H")</f>
        <v>005467H</v>
      </c>
      <c r="J78" s="32">
        <v>852</v>
      </c>
      <c r="K78" s="26" t="str">
        <f>CONCATENATE(DEC2HEX(J78/M76*256+0.5,5),"H,")</f>
        <v>00582H,</v>
      </c>
      <c r="L78" s="1" t="s">
        <v>69</v>
      </c>
      <c r="M78" s="26" t="str">
        <f>CONCATENATE(DEC2HEX(1/M76*256*256*256+0.5,6),"H")</f>
        <v>01A7ABH</v>
      </c>
    </row>
    <row r="79" spans="1:18" x14ac:dyDescent="0.15">
      <c r="B79" t="s">
        <v>61</v>
      </c>
      <c r="C79" s="32">
        <v>941</v>
      </c>
      <c r="D79" t="s">
        <v>57</v>
      </c>
      <c r="E79" s="26" t="str">
        <f>CONCATENATE(DEC2HEX(C79/G76*256+0.5,5),"H,")</f>
        <v>00136H,</v>
      </c>
      <c r="J79" s="32">
        <v>941</v>
      </c>
      <c r="K79" s="26" t="str">
        <f>CONCATENATE(DEC2HEX(J79/M76*256+0.5,5),"H,")</f>
        <v>00615H,</v>
      </c>
    </row>
    <row r="80" spans="1:18" x14ac:dyDescent="0.15">
      <c r="C80" s="1"/>
      <c r="E80" s="26" t="str">
        <f>CONCATENATE(DEC2HEX(E81/G76*256+0.5,5),"H,")</f>
        <v>0018FH,</v>
      </c>
      <c r="F80" s="26" t="str">
        <f>CONCATENATE(DEC2HEX(F81/G76*256+0.5,5),"H,")</f>
        <v>001B8H,</v>
      </c>
      <c r="G80" s="26" t="str">
        <f>CONCATENATE(DEC2HEX(G81/G76*256+0.5,5),"H,")</f>
        <v>001E7H,</v>
      </c>
      <c r="H80" s="26" t="str">
        <f>CONCATENATE(DEC2HEX(H81/G76*256+0.5,5),"H")</f>
        <v>0021AH</v>
      </c>
      <c r="K80" s="26" t="str">
        <f>CONCATENATE(DEC2HEX(K81/M76*256+0.5,5),"H,")</f>
        <v>007D1H,</v>
      </c>
      <c r="L80" s="26" t="str">
        <f>CONCATENATE(DEC2HEX(L81/M76*256+0.5,5),"H,")</f>
        <v>008A3H,</v>
      </c>
      <c r="M80" s="26" t="str">
        <f>CONCATENATE(DEC2HEX(M81/M76*256+0.5,5),"H,")</f>
        <v>0098CH,</v>
      </c>
      <c r="N80" s="26" t="str">
        <f>CONCATENATE(DEC2HEX(N81/M76*256+0.5,5),"H")</f>
        <v>00A8FH</v>
      </c>
    </row>
    <row r="81" spans="2:19" x14ac:dyDescent="0.15">
      <c r="C81" s="1"/>
      <c r="E81" s="32">
        <v>1209</v>
      </c>
      <c r="F81" s="32">
        <v>1336</v>
      </c>
      <c r="G81" s="33">
        <v>1477</v>
      </c>
      <c r="H81" s="32">
        <v>1633</v>
      </c>
      <c r="I81" t="s">
        <v>63</v>
      </c>
      <c r="K81" s="32">
        <v>1209</v>
      </c>
      <c r="L81" s="32">
        <v>1336</v>
      </c>
      <c r="M81" s="33">
        <v>1477</v>
      </c>
      <c r="N81" s="32">
        <v>1633</v>
      </c>
      <c r="O81" t="s">
        <v>63</v>
      </c>
    </row>
    <row r="83" spans="2:19" ht="14.25" thickBot="1" x14ac:dyDescent="0.2">
      <c r="B83" s="47"/>
      <c r="C83" s="70">
        <f>M24</f>
        <v>198.7764705882353</v>
      </c>
      <c r="D83" s="1" t="s">
        <v>65</v>
      </c>
      <c r="E83" s="10" t="s">
        <v>66</v>
      </c>
      <c r="F83" s="40">
        <f>G74</f>
        <v>256</v>
      </c>
      <c r="G83" t="s">
        <v>64</v>
      </c>
      <c r="J83" s="39">
        <f>M29</f>
        <v>39.6</v>
      </c>
      <c r="K83" s="1" t="s">
        <v>65</v>
      </c>
      <c r="L83" s="10" t="s">
        <v>66</v>
      </c>
      <c r="M83" s="40">
        <f>M74</f>
        <v>256</v>
      </c>
      <c r="N83" t="s">
        <v>64</v>
      </c>
      <c r="Q83" s="10" t="s">
        <v>88</v>
      </c>
    </row>
    <row r="84" spans="2:19" ht="14.25" thickBot="1" x14ac:dyDescent="0.2">
      <c r="B84" s="34" t="s">
        <v>71</v>
      </c>
      <c r="C84" s="26" t="str">
        <f>L24</f>
        <v>032H</v>
      </c>
      <c r="E84" s="43" t="s">
        <v>68</v>
      </c>
      <c r="F84" s="44">
        <f>C83*1000/F83</f>
        <v>776.47058823529414</v>
      </c>
      <c r="G84" s="45" t="s">
        <v>31</v>
      </c>
      <c r="H84" s="10" t="s">
        <v>76</v>
      </c>
      <c r="I84" s="34" t="s">
        <v>72</v>
      </c>
      <c r="J84" s="30" t="str">
        <f>L29</f>
        <v>0FFH</v>
      </c>
      <c r="L84" s="43" t="s">
        <v>68</v>
      </c>
      <c r="M84" s="44">
        <f>J83*1000/M83</f>
        <v>154.6875</v>
      </c>
      <c r="N84" s="45" t="s">
        <v>31</v>
      </c>
      <c r="O84" s="10" t="s">
        <v>76</v>
      </c>
      <c r="P84" s="10" t="s">
        <v>89</v>
      </c>
      <c r="Q84" s="53" t="str">
        <f>J84</f>
        <v>0FFH</v>
      </c>
      <c r="R84" s="10" t="s">
        <v>87</v>
      </c>
      <c r="S84" s="54" t="s">
        <v>90</v>
      </c>
    </row>
    <row r="85" spans="2:19" ht="14.25" thickBot="1" x14ac:dyDescent="0.2">
      <c r="C85" s="41">
        <v>1000</v>
      </c>
      <c r="D85" t="s">
        <v>57</v>
      </c>
      <c r="E85" s="26" t="str">
        <f>CONCATENATE(DEC2HEX(C85/F84*256+0.5,5),"H,")</f>
        <v>0014AH,</v>
      </c>
      <c r="F85" s="42">
        <f t="shared" ref="F85:F92" si="60">F$84*HEX2DEC(MID(E85,2,4))/256</f>
        <v>1000.9191176470589</v>
      </c>
      <c r="G85" t="s">
        <v>63</v>
      </c>
      <c r="H85" s="46" t="str">
        <f t="shared" ref="H85:H92" si="61">IF(ABS((F85-C85)/C85*100)&gt;0.001,CONCATENATE(FIXED(ABS((F85-C85)/C85*100),3),"%"),"")</f>
        <v>0.092%</v>
      </c>
      <c r="J85" s="32">
        <f t="shared" ref="J85:J92" si="62">C85</f>
        <v>1000</v>
      </c>
      <c r="K85" t="s">
        <v>57</v>
      </c>
      <c r="L85" s="26" t="str">
        <f>CONCATENATE(DEC2HEX(J85/M84*256+0.5,5),"H,")</f>
        <v>00677H,</v>
      </c>
      <c r="M85" s="42">
        <f t="shared" ref="M85:M92" si="63">M$84*HEX2DEC(MID(L85,2,4))/256</f>
        <v>1000.030517578125</v>
      </c>
      <c r="N85" t="s">
        <v>63</v>
      </c>
      <c r="O85" s="46" t="str">
        <f t="shared" ref="O85:O92" si="64">IF(ABS((M85-J85)/J85*100)&gt;0.001,CONCATENATE(FIXED(ABS((M85-J85)/J85*100),3),"%"),"")</f>
        <v>0.003%</v>
      </c>
      <c r="P85" s="50">
        <v>0.60899999999999999</v>
      </c>
      <c r="Q85" s="26" t="str">
        <f t="shared" ref="Q85:Q92" si="65">CONCATENATE(DEC2HEX(HEX2DEC(MID(Q$84,2,2))*P85+0.5,3),"H,")</f>
        <v>09BH,</v>
      </c>
      <c r="R85" s="1" t="s">
        <v>80</v>
      </c>
      <c r="S85" s="30" t="str">
        <f>CONCATENATE("0x",CONCATENATE(MID(Q85,2,2),","))</f>
        <v>0x9B,</v>
      </c>
    </row>
    <row r="86" spans="2:19" ht="14.25" thickBot="1" x14ac:dyDescent="0.2">
      <c r="C86" s="41">
        <v>1955</v>
      </c>
      <c r="D86" t="s">
        <v>57</v>
      </c>
      <c r="E86" s="26" t="str">
        <f>CONCATENATE(DEC2HEX(C86/F84*256+0.5,5),"H,")</f>
        <v>00285H,</v>
      </c>
      <c r="F86" s="42">
        <f t="shared" si="60"/>
        <v>1956.3419117647059</v>
      </c>
      <c r="G86" t="s">
        <v>63</v>
      </c>
      <c r="H86" s="46" t="str">
        <f t="shared" si="61"/>
        <v>0.069%</v>
      </c>
      <c r="J86" s="32">
        <f t="shared" si="62"/>
        <v>1955</v>
      </c>
      <c r="K86" t="s">
        <v>57</v>
      </c>
      <c r="L86" s="26" t="str">
        <f>CONCATENATE(DEC2HEX(J86/M84*256+0.5,5),"H,")</f>
        <v>00CA3H,</v>
      </c>
      <c r="M86" s="42">
        <f t="shared" si="63"/>
        <v>1954.742431640625</v>
      </c>
      <c r="N86" t="s">
        <v>63</v>
      </c>
      <c r="O86" s="46" t="str">
        <f t="shared" si="64"/>
        <v>0.013%</v>
      </c>
      <c r="P86" s="50">
        <v>0.7</v>
      </c>
      <c r="Q86" s="26" t="str">
        <f t="shared" si="65"/>
        <v>0B3H,</v>
      </c>
      <c r="R86" s="1" t="s">
        <v>79</v>
      </c>
      <c r="S86" s="30" t="str">
        <f>CONCATENATE("0x",CONCATENATE(MID(Q89,2,2),","))</f>
        <v>0xCF,</v>
      </c>
    </row>
    <row r="87" spans="2:19" ht="14.25" thickBot="1" x14ac:dyDescent="0.2">
      <c r="C87" s="41">
        <v>2125</v>
      </c>
      <c r="D87" t="s">
        <v>57</v>
      </c>
      <c r="E87" s="26" t="str">
        <f>CONCATENATE(DEC2HEX(C87/F84*256+0.5,5),"H,")</f>
        <v>002BDH,</v>
      </c>
      <c r="F87" s="42">
        <f t="shared" si="60"/>
        <v>2126.1948529411766</v>
      </c>
      <c r="G87" t="s">
        <v>63</v>
      </c>
      <c r="H87" s="46" t="str">
        <f t="shared" si="61"/>
        <v>0.056%</v>
      </c>
      <c r="J87" s="32">
        <f t="shared" si="62"/>
        <v>2125</v>
      </c>
      <c r="K87" t="s">
        <v>57</v>
      </c>
      <c r="L87" s="26" t="str">
        <f>CONCATENATE(DEC2HEX(J87/M84*256+0.5,5),"H,")</f>
        <v>00DBDH,</v>
      </c>
      <c r="M87" s="42">
        <f t="shared" si="63"/>
        <v>2125.140380859375</v>
      </c>
      <c r="N87" t="s">
        <v>63</v>
      </c>
      <c r="O87" s="46" t="str">
        <f t="shared" si="64"/>
        <v>0.007%</v>
      </c>
      <c r="P87" s="50">
        <v>0.72699999999999998</v>
      </c>
      <c r="Q87" s="26" t="str">
        <f t="shared" si="65"/>
        <v>0B9H,</v>
      </c>
      <c r="R87" s="1" t="s">
        <v>81</v>
      </c>
      <c r="S87" s="30" t="str">
        <f>CONCATENATE("0x",CONCATENATE(MID(Q87,2,2),","))</f>
        <v>0xB9,</v>
      </c>
    </row>
    <row r="88" spans="2:19" ht="14.25" thickBot="1" x14ac:dyDescent="0.2">
      <c r="C88" s="41">
        <v>2295</v>
      </c>
      <c r="D88" t="s">
        <v>57</v>
      </c>
      <c r="E88" s="26" t="str">
        <f>CONCATENATE(DEC2HEX(C88/F84*256+0.5,5),"H,")</f>
        <v>002F5H,</v>
      </c>
      <c r="F88" s="42">
        <f t="shared" si="60"/>
        <v>2296.0477941176473</v>
      </c>
      <c r="G88" t="s">
        <v>63</v>
      </c>
      <c r="H88" s="46" t="str">
        <f t="shared" si="61"/>
        <v>0.046%</v>
      </c>
      <c r="J88" s="32">
        <f t="shared" si="62"/>
        <v>2295</v>
      </c>
      <c r="K88" t="s">
        <v>57</v>
      </c>
      <c r="L88" s="26" t="str">
        <f>CONCATENATE(DEC2HEX(J88/M84*256+0.5,5),"H,")</f>
        <v>00ED6H,</v>
      </c>
      <c r="M88" s="42">
        <f t="shared" si="63"/>
        <v>2294.93408203125</v>
      </c>
      <c r="N88" t="s">
        <v>63</v>
      </c>
      <c r="O88" s="46" t="str">
        <f t="shared" si="64"/>
        <v>0.003%</v>
      </c>
      <c r="P88" s="50">
        <v>0.77200000000000002</v>
      </c>
      <c r="Q88" s="26" t="str">
        <f t="shared" si="65"/>
        <v>0C5H,</v>
      </c>
      <c r="R88" s="1" t="s">
        <v>82</v>
      </c>
      <c r="S88" s="52" t="str">
        <f>CONCATENATE("0x",CONCATENATE(MID(Q91,2,2),","))</f>
        <v>0xEE,</v>
      </c>
    </row>
    <row r="89" spans="2:19" ht="14.25" thickBot="1" x14ac:dyDescent="0.2">
      <c r="C89" s="41">
        <v>2465</v>
      </c>
      <c r="D89" t="s">
        <v>57</v>
      </c>
      <c r="E89" s="26" t="str">
        <f>CONCATENATE(DEC2HEX(C89/F84*256+0.5,5),"H,")</f>
        <v>0032DH,</v>
      </c>
      <c r="F89" s="42">
        <f t="shared" si="60"/>
        <v>2465.9007352941176</v>
      </c>
      <c r="G89" t="s">
        <v>63</v>
      </c>
      <c r="H89" s="46" t="str">
        <f t="shared" si="61"/>
        <v>0.037%</v>
      </c>
      <c r="J89" s="32">
        <f t="shared" si="62"/>
        <v>2465</v>
      </c>
      <c r="K89" t="s">
        <v>57</v>
      </c>
      <c r="L89" s="26" t="str">
        <f>CONCATENATE(DEC2HEX(J89/M84*256+0.5,5),"H,")</f>
        <v>00FEFH,</v>
      </c>
      <c r="M89" s="42">
        <f t="shared" si="63"/>
        <v>2464.727783203125</v>
      </c>
      <c r="N89" t="s">
        <v>63</v>
      </c>
      <c r="O89" s="46" t="str">
        <f t="shared" si="64"/>
        <v>0.011%</v>
      </c>
      <c r="P89" s="51">
        <v>0.81200000000000006</v>
      </c>
      <c r="Q89" s="26" t="str">
        <f t="shared" si="65"/>
        <v>0CFH,</v>
      </c>
      <c r="R89" s="1" t="s">
        <v>83</v>
      </c>
      <c r="S89" s="30" t="str">
        <f>CONCATENATE("0x",CONCATENATE(MID(Q86,2,2),","))</f>
        <v>0xB3,</v>
      </c>
    </row>
    <row r="90" spans="2:19" ht="14.25" thickBot="1" x14ac:dyDescent="0.2">
      <c r="C90" s="41">
        <v>2635</v>
      </c>
      <c r="D90" t="s">
        <v>57</v>
      </c>
      <c r="E90" s="26" t="str">
        <f>CONCATENATE(DEC2HEX(C90/F84*256+0.5,5),"H,")</f>
        <v>00365H,</v>
      </c>
      <c r="F90" s="42">
        <f t="shared" si="60"/>
        <v>2635.7536764705883</v>
      </c>
      <c r="G90" t="s">
        <v>63</v>
      </c>
      <c r="H90" s="46" t="str">
        <f t="shared" si="61"/>
        <v>0.029%</v>
      </c>
      <c r="J90" s="32">
        <f t="shared" si="62"/>
        <v>2635</v>
      </c>
      <c r="K90" t="s">
        <v>57</v>
      </c>
      <c r="L90" s="26" t="str">
        <f>CONCATENATE(DEC2HEX(J90/M84*256+0.5,5),"H,")</f>
        <v>01109H,</v>
      </c>
      <c r="M90" s="42">
        <f t="shared" si="63"/>
        <v>2635.125732421875</v>
      </c>
      <c r="N90" t="s">
        <v>63</v>
      </c>
      <c r="O90" s="46" t="str">
        <f t="shared" si="64"/>
        <v>0.005%</v>
      </c>
      <c r="P90" s="50">
        <v>0.85499999999999998</v>
      </c>
      <c r="Q90" s="26" t="str">
        <f t="shared" si="65"/>
        <v>0DAH,</v>
      </c>
      <c r="R90" s="1" t="s">
        <v>84</v>
      </c>
      <c r="S90" s="30" t="str">
        <f>CONCATENATE("0x",CONCATENATE(MID(Q90,2,2),","))</f>
        <v>0xDA,</v>
      </c>
    </row>
    <row r="91" spans="2:19" ht="14.25" thickBot="1" x14ac:dyDescent="0.2">
      <c r="C91" s="41">
        <v>2805</v>
      </c>
      <c r="D91" t="s">
        <v>57</v>
      </c>
      <c r="E91" s="26" t="str">
        <f>CONCATENATE(DEC2HEX(C91/F84*256+0.5,5),"H,")</f>
        <v>0039DH,</v>
      </c>
      <c r="F91" s="42">
        <f t="shared" si="60"/>
        <v>2805.606617647059</v>
      </c>
      <c r="G91" t="s">
        <v>63</v>
      </c>
      <c r="H91" s="46" t="str">
        <f t="shared" si="61"/>
        <v>0.022%</v>
      </c>
      <c r="J91" s="32">
        <f t="shared" si="62"/>
        <v>2805</v>
      </c>
      <c r="K91" t="s">
        <v>57</v>
      </c>
      <c r="L91" s="26" t="str">
        <f>CONCATENATE(DEC2HEX(J91/M84*256+0.5,5),"H,")</f>
        <v>01222H,</v>
      </c>
      <c r="M91" s="42">
        <f t="shared" si="63"/>
        <v>2804.91943359375</v>
      </c>
      <c r="N91" t="s">
        <v>63</v>
      </c>
      <c r="O91" s="46" t="str">
        <f t="shared" si="64"/>
        <v>0.003%</v>
      </c>
      <c r="P91" s="50">
        <v>0.93300000000000005</v>
      </c>
      <c r="Q91" s="26" t="str">
        <f t="shared" si="65"/>
        <v>0EEH,</v>
      </c>
      <c r="R91" s="1" t="s">
        <v>85</v>
      </c>
      <c r="S91" s="30" t="str">
        <f>CONCATENATE("0x",CONCATENATE(MID(Q88,2,2),","))</f>
        <v>0xC5,</v>
      </c>
    </row>
    <row r="92" spans="2:19" ht="14.25" thickBot="1" x14ac:dyDescent="0.2">
      <c r="C92" s="41">
        <v>2975</v>
      </c>
      <c r="D92" t="s">
        <v>57</v>
      </c>
      <c r="E92" s="26" t="str">
        <f>CONCATENATE(DEC2HEX(C92/F84*256+0.5,5),"H")</f>
        <v>003D5H</v>
      </c>
      <c r="F92" s="42">
        <f t="shared" si="60"/>
        <v>2975.4595588235297</v>
      </c>
      <c r="G92" t="s">
        <v>63</v>
      </c>
      <c r="H92" s="46" t="str">
        <f t="shared" si="61"/>
        <v>0.015%</v>
      </c>
      <c r="J92" s="32">
        <f t="shared" si="62"/>
        <v>2975</v>
      </c>
      <c r="K92" t="s">
        <v>57</v>
      </c>
      <c r="L92" s="26" t="str">
        <f>CONCATENATE(DEC2HEX(J92/M84*256+0.5,5),"H")</f>
        <v>0133BH</v>
      </c>
      <c r="M92" s="42">
        <f t="shared" si="63"/>
        <v>2974.713134765625</v>
      </c>
      <c r="N92" t="s">
        <v>63</v>
      </c>
      <c r="O92" s="46" t="str">
        <f t="shared" si="64"/>
        <v>0.010%</v>
      </c>
      <c r="P92" s="50">
        <v>1</v>
      </c>
      <c r="Q92" s="26" t="str">
        <f t="shared" si="65"/>
        <v>0FFH,</v>
      </c>
      <c r="R92" s="1" t="s">
        <v>86</v>
      </c>
      <c r="S92" s="30" t="str">
        <f>CONCATENATE("0x",CONCATENATE(MID(Q92,2,2)," // "))</f>
        <v xml:space="preserve">0xFF // </v>
      </c>
    </row>
    <row r="94" spans="2:19" ht="14.25" thickBot="1" x14ac:dyDescent="0.2">
      <c r="B94" s="47"/>
      <c r="C94" s="47" t="s">
        <v>75</v>
      </c>
      <c r="I94" t="s">
        <v>73</v>
      </c>
      <c r="O94" s="10" t="s">
        <v>76</v>
      </c>
    </row>
    <row r="95" spans="2:19" ht="14.25" thickBot="1" x14ac:dyDescent="0.2">
      <c r="B95" t="s">
        <v>8</v>
      </c>
      <c r="C95" s="12">
        <f t="shared" ref="C95:C102" si="66">$C$8/4</f>
        <v>10.137600000000001</v>
      </c>
      <c r="D95" s="2" t="s">
        <v>0</v>
      </c>
      <c r="E95" s="19">
        <v>1</v>
      </c>
      <c r="F95" s="11">
        <v>1</v>
      </c>
      <c r="G95" s="41">
        <v>1000</v>
      </c>
      <c r="H95" s="2" t="s">
        <v>31</v>
      </c>
      <c r="I95" s="15">
        <f t="shared" ref="I95:I102" si="67">1000000/G95/2</f>
        <v>500</v>
      </c>
      <c r="J95" t="s">
        <v>30</v>
      </c>
      <c r="K95" s="1" t="str">
        <f t="shared" ref="K95:K102" si="68">CONCATENATE(DEC2HEX((1000/2/G95)*1000/(1/C95*E95*F95) + 0.5,5),"H")</f>
        <v>013CDH</v>
      </c>
      <c r="L95" s="26" t="str">
        <f t="shared" ref="L95:L101" si="69">CONCATENATE(DEC2HEX(65536-HEX2DEC(MID(K95,2,4)),5),"H,")</f>
        <v>0EC33H,</v>
      </c>
      <c r="M95" s="42">
        <f t="shared" ref="M95:M102" si="70">1/(1/(C95*1000000)*E95*F95*HEX2DEC(MID(K95,2,4)))/2</f>
        <v>999.96054448609186</v>
      </c>
      <c r="N95" t="s">
        <v>63</v>
      </c>
      <c r="O95" s="13" t="str">
        <f t="shared" ref="O95:O102" si="71">IF(ABS((M95-G95)/G95*100)&gt;0.001,CONCATENATE(FIXED(ABS((M95-G95)/G95*100),3),"%"),"")</f>
        <v>0.004%</v>
      </c>
    </row>
    <row r="96" spans="2:19" ht="14.25" thickBot="1" x14ac:dyDescent="0.2">
      <c r="B96" t="s">
        <v>8</v>
      </c>
      <c r="C96" s="12">
        <f t="shared" si="66"/>
        <v>10.137600000000001</v>
      </c>
      <c r="D96" s="2" t="s">
        <v>0</v>
      </c>
      <c r="E96" s="19">
        <v>1</v>
      </c>
      <c r="F96" s="11">
        <v>1</v>
      </c>
      <c r="G96" s="41">
        <v>1955</v>
      </c>
      <c r="H96" s="2" t="s">
        <v>31</v>
      </c>
      <c r="I96" s="15">
        <f t="shared" si="67"/>
        <v>255.7544757033248</v>
      </c>
      <c r="J96" t="s">
        <v>30</v>
      </c>
      <c r="K96" s="1" t="str">
        <f t="shared" si="68"/>
        <v>00A21H</v>
      </c>
      <c r="L96" s="26" t="str">
        <f t="shared" si="69"/>
        <v>0F5DFH,</v>
      </c>
      <c r="M96" s="42">
        <f t="shared" si="70"/>
        <v>1954.8013883532585</v>
      </c>
      <c r="N96" s="2" t="s">
        <v>74</v>
      </c>
      <c r="O96" s="13" t="str">
        <f t="shared" si="71"/>
        <v>0.010%</v>
      </c>
    </row>
    <row r="97" spans="2:15" ht="14.25" thickBot="1" x14ac:dyDescent="0.2">
      <c r="B97" t="s">
        <v>8</v>
      </c>
      <c r="C97" s="12">
        <f t="shared" si="66"/>
        <v>10.137600000000001</v>
      </c>
      <c r="D97" s="2" t="s">
        <v>0</v>
      </c>
      <c r="E97" s="19">
        <v>1</v>
      </c>
      <c r="F97" s="11">
        <v>1</v>
      </c>
      <c r="G97" s="41">
        <v>2125</v>
      </c>
      <c r="H97" s="2" t="s">
        <v>31</v>
      </c>
      <c r="I97" s="15">
        <f t="shared" si="67"/>
        <v>235.29411764705881</v>
      </c>
      <c r="J97" t="s">
        <v>30</v>
      </c>
      <c r="K97" s="1" t="str">
        <f t="shared" si="68"/>
        <v>00951H</v>
      </c>
      <c r="L97" s="26" t="str">
        <f t="shared" si="69"/>
        <v>0F6AFH,</v>
      </c>
      <c r="M97" s="42">
        <f t="shared" si="70"/>
        <v>2125.2830188679245</v>
      </c>
      <c r="N97" s="2" t="s">
        <v>74</v>
      </c>
      <c r="O97" s="13" t="str">
        <f t="shared" si="71"/>
        <v>0.013%</v>
      </c>
    </row>
    <row r="98" spans="2:15" ht="14.25" thickBot="1" x14ac:dyDescent="0.2">
      <c r="B98" t="s">
        <v>8</v>
      </c>
      <c r="C98" s="12">
        <f t="shared" si="66"/>
        <v>10.137600000000001</v>
      </c>
      <c r="D98" s="2" t="s">
        <v>0</v>
      </c>
      <c r="E98" s="19">
        <v>1</v>
      </c>
      <c r="F98" s="11">
        <v>1</v>
      </c>
      <c r="G98" s="41">
        <v>2295</v>
      </c>
      <c r="H98" s="2" t="s">
        <v>31</v>
      </c>
      <c r="I98" s="15">
        <f t="shared" si="67"/>
        <v>217.86492374727669</v>
      </c>
      <c r="J98" t="s">
        <v>30</v>
      </c>
      <c r="K98" s="1" t="str">
        <f t="shared" si="68"/>
        <v>008A1H</v>
      </c>
      <c r="L98" s="26" t="str">
        <f t="shared" si="69"/>
        <v>0F75FH,</v>
      </c>
      <c r="M98" s="42">
        <f t="shared" si="70"/>
        <v>2294.6129470348574</v>
      </c>
      <c r="N98" s="2" t="s">
        <v>74</v>
      </c>
      <c r="O98" s="13" t="str">
        <f t="shared" si="71"/>
        <v>0.017%</v>
      </c>
    </row>
    <row r="99" spans="2:15" ht="14.25" thickBot="1" x14ac:dyDescent="0.2">
      <c r="B99" t="s">
        <v>8</v>
      </c>
      <c r="C99" s="12">
        <f t="shared" si="66"/>
        <v>10.137600000000001</v>
      </c>
      <c r="D99" s="2" t="s">
        <v>0</v>
      </c>
      <c r="E99" s="19">
        <v>1</v>
      </c>
      <c r="F99" s="11">
        <v>1</v>
      </c>
      <c r="G99" s="41">
        <v>2465</v>
      </c>
      <c r="H99" s="2" t="s">
        <v>31</v>
      </c>
      <c r="I99" s="15">
        <f t="shared" si="67"/>
        <v>202.83975659229208</v>
      </c>
      <c r="J99" t="s">
        <v>30</v>
      </c>
      <c r="K99" s="1" t="str">
        <f t="shared" si="68"/>
        <v>00808H</v>
      </c>
      <c r="L99" s="26" t="str">
        <f t="shared" si="69"/>
        <v>0F7F8H,</v>
      </c>
      <c r="M99" s="42">
        <f t="shared" si="70"/>
        <v>2465.3696498054474</v>
      </c>
      <c r="N99" s="2" t="s">
        <v>74</v>
      </c>
      <c r="O99" s="13" t="str">
        <f t="shared" si="71"/>
        <v>0.015%</v>
      </c>
    </row>
    <row r="100" spans="2:15" ht="14.25" thickBot="1" x14ac:dyDescent="0.2">
      <c r="B100" t="s">
        <v>8</v>
      </c>
      <c r="C100" s="12">
        <f t="shared" si="66"/>
        <v>10.137600000000001</v>
      </c>
      <c r="D100" s="2" t="s">
        <v>0</v>
      </c>
      <c r="E100" s="19">
        <v>1</v>
      </c>
      <c r="F100" s="11">
        <v>1</v>
      </c>
      <c r="G100" s="41">
        <v>2635</v>
      </c>
      <c r="H100" s="2" t="s">
        <v>31</v>
      </c>
      <c r="I100" s="15">
        <f t="shared" si="67"/>
        <v>189.75332068311195</v>
      </c>
      <c r="J100" t="s">
        <v>30</v>
      </c>
      <c r="K100" s="1" t="str">
        <f t="shared" si="68"/>
        <v>00784H</v>
      </c>
      <c r="L100" s="26" t="str">
        <f t="shared" si="69"/>
        <v>0F87CH,</v>
      </c>
      <c r="M100" s="42">
        <f t="shared" si="70"/>
        <v>2634.5114345114343</v>
      </c>
      <c r="N100" s="2" t="s">
        <v>74</v>
      </c>
      <c r="O100" s="13" t="str">
        <f t="shared" si="71"/>
        <v>0.019%</v>
      </c>
    </row>
    <row r="101" spans="2:15" ht="14.25" thickBot="1" x14ac:dyDescent="0.2">
      <c r="B101" t="s">
        <v>8</v>
      </c>
      <c r="C101" s="12">
        <f t="shared" si="66"/>
        <v>10.137600000000001</v>
      </c>
      <c r="D101" s="2" t="s">
        <v>0</v>
      </c>
      <c r="E101" s="19">
        <v>1</v>
      </c>
      <c r="F101" s="11">
        <v>1</v>
      </c>
      <c r="G101" s="41">
        <v>2805</v>
      </c>
      <c r="H101" s="2" t="s">
        <v>31</v>
      </c>
      <c r="I101" s="15">
        <f t="shared" si="67"/>
        <v>178.25311942959001</v>
      </c>
      <c r="J101" t="s">
        <v>30</v>
      </c>
      <c r="K101" s="1" t="str">
        <f t="shared" si="68"/>
        <v>0070FH</v>
      </c>
      <c r="L101" s="26" t="str">
        <f t="shared" si="69"/>
        <v>0F8F1H,</v>
      </c>
      <c r="M101" s="42">
        <f t="shared" si="70"/>
        <v>2805.0913115661315</v>
      </c>
      <c r="N101" s="2" t="s">
        <v>74</v>
      </c>
      <c r="O101" s="13" t="str">
        <f t="shared" si="71"/>
        <v>0.003%</v>
      </c>
    </row>
    <row r="102" spans="2:15" ht="14.25" thickBot="1" x14ac:dyDescent="0.2">
      <c r="B102" t="s">
        <v>8</v>
      </c>
      <c r="C102" s="12">
        <f t="shared" si="66"/>
        <v>10.137600000000001</v>
      </c>
      <c r="D102" s="2" t="s">
        <v>0</v>
      </c>
      <c r="E102" s="19">
        <v>1</v>
      </c>
      <c r="F102" s="11">
        <v>1</v>
      </c>
      <c r="G102" s="41">
        <v>2975</v>
      </c>
      <c r="H102" s="2" t="s">
        <v>31</v>
      </c>
      <c r="I102" s="15">
        <f t="shared" si="67"/>
        <v>168.0672268907563</v>
      </c>
      <c r="J102" t="s">
        <v>30</v>
      </c>
      <c r="K102" s="1" t="str">
        <f t="shared" si="68"/>
        <v>006A8H</v>
      </c>
      <c r="L102" s="26" t="str">
        <f>CONCATENATE(DEC2HEX(65536-HEX2DEC(MID(K102,2,4)),5),"H")</f>
        <v>0F958H</v>
      </c>
      <c r="M102" s="42">
        <f t="shared" si="70"/>
        <v>2974.6478873239439</v>
      </c>
      <c r="N102" s="2" t="s">
        <v>74</v>
      </c>
      <c r="O102" s="13" t="str">
        <f t="shared" si="71"/>
        <v>0.012%</v>
      </c>
    </row>
    <row r="104" spans="2:15" ht="14.25" thickBot="1" x14ac:dyDescent="0.2">
      <c r="M104" t="s">
        <v>22</v>
      </c>
      <c r="N104" s="1" t="s">
        <v>20</v>
      </c>
      <c r="O104" s="1" t="s">
        <v>21</v>
      </c>
    </row>
    <row r="105" spans="2:15" ht="14.25" thickBot="1" x14ac:dyDescent="0.2">
      <c r="B105" t="s">
        <v>16</v>
      </c>
      <c r="C105" s="6">
        <f>C9/4/1000000</f>
        <v>10.137600000000001</v>
      </c>
      <c r="D105" s="3" t="s">
        <v>0</v>
      </c>
      <c r="E105" s="4">
        <v>1</v>
      </c>
      <c r="F105">
        <v>1</v>
      </c>
      <c r="G105" s="8">
        <v>30</v>
      </c>
      <c r="H105" s="2" t="s">
        <v>14</v>
      </c>
      <c r="I105" s="1" t="str">
        <f t="shared" ref="I105:I111" si="72">DEC2HEX((1/G105)*1000/(1/C105*E105*F105) + 0.5,4)</f>
        <v>0152</v>
      </c>
      <c r="J105" s="1" t="str">
        <f t="shared" ref="J105:J111" si="73">DEC2HEX(65536-HEX2DEC(I105),4)</f>
        <v>FEAE</v>
      </c>
      <c r="K105">
        <f t="shared" ref="K105:K111" si="74">1/(1/(C105*1000)*E105*F105*IF(HEX2DEC(RIGHT(I105,4))=0,65536,HEX2DEC(RIGHT(I105,4))))</f>
        <v>29.992899408284025</v>
      </c>
      <c r="L105" s="2" t="s">
        <v>14</v>
      </c>
      <c r="M105">
        <v>50</v>
      </c>
      <c r="N105" s="1" t="str">
        <f t="shared" ref="N105:N111" si="75">DEC2HEX(65536-INT(HEX2DEC(I105)*M105/100+0.5),4)</f>
        <v>FF57</v>
      </c>
      <c r="O105" s="1" t="str">
        <f t="shared" ref="O105:O111" si="76">DEC2HEX(65536-HEX2DEC(I105)+INT(HEX2DEC(I105)*M105/100+0.5),4)</f>
        <v>FF57</v>
      </c>
    </row>
    <row r="106" spans="2:15" x14ac:dyDescent="0.15">
      <c r="C106" s="7">
        <f t="shared" ref="C106:C111" si="77">C105</f>
        <v>10.137600000000001</v>
      </c>
      <c r="D106" s="3" t="s">
        <v>0</v>
      </c>
      <c r="E106" s="5">
        <f t="shared" ref="E106:F111" si="78">E105</f>
        <v>1</v>
      </c>
      <c r="F106" s="5">
        <f t="shared" si="78"/>
        <v>1</v>
      </c>
      <c r="G106" s="8">
        <v>32.75</v>
      </c>
      <c r="H106" s="2" t="s">
        <v>14</v>
      </c>
      <c r="I106" s="1" t="str">
        <f t="shared" si="72"/>
        <v>0136</v>
      </c>
      <c r="J106" s="1" t="str">
        <f t="shared" si="73"/>
        <v>FECA</v>
      </c>
      <c r="K106">
        <f t="shared" si="74"/>
        <v>32.701935483870969</v>
      </c>
      <c r="L106" s="2" t="s">
        <v>14</v>
      </c>
      <c r="M106">
        <f t="shared" ref="M106:M111" si="79">M105</f>
        <v>50</v>
      </c>
      <c r="N106" s="1" t="str">
        <f t="shared" si="75"/>
        <v>FF65</v>
      </c>
      <c r="O106" s="1" t="str">
        <f t="shared" si="76"/>
        <v>FF65</v>
      </c>
    </row>
    <row r="107" spans="2:15" x14ac:dyDescent="0.15">
      <c r="C107" s="7">
        <f t="shared" si="77"/>
        <v>10.137600000000001</v>
      </c>
      <c r="D107" s="3" t="s">
        <v>0</v>
      </c>
      <c r="E107" s="5">
        <f t="shared" si="78"/>
        <v>1</v>
      </c>
      <c r="F107" s="5">
        <f t="shared" si="78"/>
        <v>1</v>
      </c>
      <c r="G107" s="8">
        <v>36</v>
      </c>
      <c r="H107" s="2" t="s">
        <v>14</v>
      </c>
      <c r="I107" s="1" t="str">
        <f t="shared" si="72"/>
        <v>011A</v>
      </c>
      <c r="J107" s="1" t="str">
        <f t="shared" si="73"/>
        <v>FEE6</v>
      </c>
      <c r="K107">
        <f t="shared" si="74"/>
        <v>35.948936170212768</v>
      </c>
      <c r="L107" s="2" t="s">
        <v>14</v>
      </c>
      <c r="M107">
        <f t="shared" si="79"/>
        <v>50</v>
      </c>
      <c r="N107" s="1" t="str">
        <f t="shared" si="75"/>
        <v>FF73</v>
      </c>
      <c r="O107" s="1" t="str">
        <f t="shared" si="76"/>
        <v>FF73</v>
      </c>
    </row>
    <row r="108" spans="2:15" x14ac:dyDescent="0.15">
      <c r="C108" s="7">
        <f t="shared" si="77"/>
        <v>10.137600000000001</v>
      </c>
      <c r="D108" s="3" t="s">
        <v>0</v>
      </c>
      <c r="E108" s="5">
        <f t="shared" si="78"/>
        <v>1</v>
      </c>
      <c r="F108" s="5">
        <f t="shared" si="78"/>
        <v>1</v>
      </c>
      <c r="G108" s="8">
        <v>36.700000000000003</v>
      </c>
      <c r="H108" s="2" t="s">
        <v>14</v>
      </c>
      <c r="I108" s="1" t="str">
        <f t="shared" si="72"/>
        <v>0114</v>
      </c>
      <c r="J108" s="1" t="str">
        <f t="shared" si="73"/>
        <v>FEEC</v>
      </c>
      <c r="K108">
        <f t="shared" si="74"/>
        <v>36.730434782608697</v>
      </c>
      <c r="L108" s="2" t="s">
        <v>14</v>
      </c>
      <c r="M108">
        <f t="shared" si="79"/>
        <v>50</v>
      </c>
      <c r="N108" s="1" t="str">
        <f t="shared" si="75"/>
        <v>FF76</v>
      </c>
      <c r="O108" s="1" t="str">
        <f t="shared" si="76"/>
        <v>FF76</v>
      </c>
    </row>
    <row r="109" spans="2:15" x14ac:dyDescent="0.15">
      <c r="C109" s="7">
        <f t="shared" si="77"/>
        <v>10.137600000000001</v>
      </c>
      <c r="D109" s="3" t="s">
        <v>0</v>
      </c>
      <c r="E109" s="5">
        <f t="shared" si="78"/>
        <v>1</v>
      </c>
      <c r="F109" s="5">
        <f t="shared" si="78"/>
        <v>1</v>
      </c>
      <c r="G109" s="8">
        <v>38</v>
      </c>
      <c r="H109" s="2" t="s">
        <v>14</v>
      </c>
      <c r="I109" s="1" t="str">
        <f t="shared" si="72"/>
        <v>010B</v>
      </c>
      <c r="J109" s="1" t="str">
        <f t="shared" si="73"/>
        <v>FEF5</v>
      </c>
      <c r="K109">
        <f t="shared" si="74"/>
        <v>37.968539325842698</v>
      </c>
      <c r="L109" s="2" t="s">
        <v>14</v>
      </c>
      <c r="M109">
        <f t="shared" si="79"/>
        <v>50</v>
      </c>
      <c r="N109" s="1" t="str">
        <f t="shared" si="75"/>
        <v>FF7A</v>
      </c>
      <c r="O109" s="1" t="str">
        <f t="shared" si="76"/>
        <v>FF7B</v>
      </c>
    </row>
    <row r="110" spans="2:15" x14ac:dyDescent="0.15">
      <c r="C110" s="7">
        <f t="shared" si="77"/>
        <v>10.137600000000001</v>
      </c>
      <c r="D110" s="3" t="s">
        <v>0</v>
      </c>
      <c r="E110" s="5">
        <f t="shared" si="78"/>
        <v>1</v>
      </c>
      <c r="F110" s="5">
        <f t="shared" si="78"/>
        <v>1</v>
      </c>
      <c r="G110" s="8">
        <v>40</v>
      </c>
      <c r="H110" s="2" t="s">
        <v>14</v>
      </c>
      <c r="I110" s="1" t="str">
        <f t="shared" si="72"/>
        <v>00FD</v>
      </c>
      <c r="J110" s="1" t="str">
        <f t="shared" si="73"/>
        <v>FF03</v>
      </c>
      <c r="K110">
        <f t="shared" si="74"/>
        <v>40.069565217391307</v>
      </c>
      <c r="L110" s="2" t="s">
        <v>14</v>
      </c>
      <c r="M110">
        <f t="shared" si="79"/>
        <v>50</v>
      </c>
      <c r="N110" s="1" t="str">
        <f t="shared" si="75"/>
        <v>FF81</v>
      </c>
      <c r="O110" s="1" t="str">
        <f t="shared" si="76"/>
        <v>FF82</v>
      </c>
    </row>
    <row r="111" spans="2:15" x14ac:dyDescent="0.15">
      <c r="C111" s="7">
        <f t="shared" si="77"/>
        <v>10.137600000000001</v>
      </c>
      <c r="D111" s="3" t="s">
        <v>0</v>
      </c>
      <c r="E111" s="5">
        <f t="shared" si="78"/>
        <v>1</v>
      </c>
      <c r="F111" s="5">
        <f t="shared" si="78"/>
        <v>1</v>
      </c>
      <c r="G111" s="8">
        <v>56.8</v>
      </c>
      <c r="H111" s="2" t="s">
        <v>14</v>
      </c>
      <c r="I111" s="1" t="str">
        <f t="shared" si="72"/>
        <v>00B2</v>
      </c>
      <c r="J111" s="1" t="str">
        <f t="shared" si="73"/>
        <v>FF4E</v>
      </c>
      <c r="K111">
        <f t="shared" si="74"/>
        <v>56.952808988764048</v>
      </c>
      <c r="L111" s="2" t="s">
        <v>14</v>
      </c>
      <c r="M111">
        <f t="shared" si="79"/>
        <v>50</v>
      </c>
      <c r="N111" s="1" t="str">
        <f t="shared" si="75"/>
        <v>FFA7</v>
      </c>
      <c r="O111" s="1" t="str">
        <f t="shared" si="76"/>
        <v>FFA7</v>
      </c>
    </row>
  </sheetData>
  <phoneticPr fontId="2"/>
  <pageMargins left="0" right="0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松本無線パーツ(株)岩国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AkiraShimizu</dc:creator>
  <cp:lastModifiedBy>AkiraShimizu</cp:lastModifiedBy>
  <cp:lastPrinted>2001-09-06T07:05:09Z</cp:lastPrinted>
  <dcterms:created xsi:type="dcterms:W3CDTF">2001-09-04T08:12:26Z</dcterms:created>
  <dcterms:modified xsi:type="dcterms:W3CDTF">2017-03-07T13:50:56Z</dcterms:modified>
</cp:coreProperties>
</file>