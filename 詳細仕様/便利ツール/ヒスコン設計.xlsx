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0" windowWidth="15480" windowHeight="805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Q35" i="1"/>
  <c r="Q34" s="1"/>
  <c r="T11"/>
  <c r="U15" s="1"/>
  <c r="Q33" l="1"/>
  <c r="N10"/>
  <c r="T9"/>
  <c r="T10" s="1"/>
  <c r="Q9"/>
  <c r="N9"/>
  <c r="Q11" l="1"/>
  <c r="R15"/>
  <c r="N11"/>
  <c r="Q10"/>
</calcChain>
</file>

<file path=xl/sharedStrings.xml><?xml version="1.0" encoding="utf-8"?>
<sst xmlns="http://schemas.openxmlformats.org/spreadsheetml/2006/main" count="84" uniqueCount="28">
  <si>
    <t>V2</t>
    <phoneticPr fontId="1"/>
  </si>
  <si>
    <t>Vcc</t>
    <phoneticPr fontId="1"/>
  </si>
  <si>
    <t>V-</t>
    <phoneticPr fontId="1"/>
  </si>
  <si>
    <t>R1</t>
    <phoneticPr fontId="1"/>
  </si>
  <si>
    <t>R2</t>
    <phoneticPr fontId="1"/>
  </si>
  <si>
    <t>[V]</t>
    <phoneticPr fontId="1"/>
  </si>
  <si>
    <t>[kΩ]</t>
    <phoneticPr fontId="1"/>
  </si>
  <si>
    <t>Vc</t>
    <phoneticPr fontId="1"/>
  </si>
  <si>
    <t>Vc'</t>
    <phoneticPr fontId="1"/>
  </si>
  <si>
    <t>Vth</t>
    <phoneticPr fontId="1"/>
  </si>
  <si>
    <t>各電圧の検算</t>
    <rPh sb="0" eb="1">
      <t>カク</t>
    </rPh>
    <rPh sb="1" eb="3">
      <t>デンアツ</t>
    </rPh>
    <rPh sb="4" eb="6">
      <t>ケンザン</t>
    </rPh>
    <phoneticPr fontId="1"/>
  </si>
  <si>
    <t>抵抗比</t>
    <rPh sb="0" eb="2">
      <t>テイコウ</t>
    </rPh>
    <rPh sb="2" eb="3">
      <t>ヒ</t>
    </rPh>
    <phoneticPr fontId="1"/>
  </si>
  <si>
    <t>R1：</t>
    <phoneticPr fontId="1"/>
  </si>
  <si>
    <t>R2</t>
    <phoneticPr fontId="1"/>
  </si>
  <si>
    <t>ヒステリシス幅基準</t>
    <rPh sb="6" eb="7">
      <t>ハバ</t>
    </rPh>
    <rPh sb="7" eb="9">
      <t>キジュン</t>
    </rPh>
    <phoneticPr fontId="1"/>
  </si>
  <si>
    <t>閾値基準</t>
    <rPh sb="0" eb="2">
      <t>シキイチ</t>
    </rPh>
    <rPh sb="2" eb="4">
      <t>キジュン</t>
    </rPh>
    <phoneticPr fontId="1"/>
  </si>
  <si>
    <t>R3</t>
    <phoneticPr fontId="1"/>
  </si>
  <si>
    <t>R1</t>
    <phoneticPr fontId="1"/>
  </si>
  <si>
    <t>V2を抵抗分圧により与える場合、R1,R2に対して十分に小さい値とすること（電力に注意）</t>
    <rPh sb="3" eb="5">
      <t>テイコウ</t>
    </rPh>
    <rPh sb="5" eb="7">
      <t>ブンアツ</t>
    </rPh>
    <rPh sb="10" eb="11">
      <t>アタ</t>
    </rPh>
    <rPh sb="13" eb="15">
      <t>バアイ</t>
    </rPh>
    <rPh sb="22" eb="23">
      <t>タイ</t>
    </rPh>
    <rPh sb="25" eb="27">
      <t>ジュウブン</t>
    </rPh>
    <rPh sb="28" eb="29">
      <t>チイ</t>
    </rPh>
    <rPh sb="31" eb="32">
      <t>アタイ</t>
    </rPh>
    <rPh sb="38" eb="40">
      <t>デンリョク</t>
    </rPh>
    <rPh sb="41" eb="43">
      <t>チュウイ</t>
    </rPh>
    <phoneticPr fontId="1"/>
  </si>
  <si>
    <t>V1とV2を逆にしてもよいが、V2を信号入力とする場合は接続する信号の出力インピーダンスに注意すること</t>
    <rPh sb="6" eb="7">
      <t>ギャク</t>
    </rPh>
    <rPh sb="18" eb="20">
      <t>シンゴウ</t>
    </rPh>
    <rPh sb="20" eb="22">
      <t>ニュウリョク</t>
    </rPh>
    <rPh sb="25" eb="27">
      <t>バアイ</t>
    </rPh>
    <rPh sb="28" eb="30">
      <t>セツゾク</t>
    </rPh>
    <rPh sb="32" eb="34">
      <t>シンゴウ</t>
    </rPh>
    <rPh sb="35" eb="37">
      <t>シュツリョク</t>
    </rPh>
    <rPh sb="45" eb="47">
      <t>チュウイ</t>
    </rPh>
    <phoneticPr fontId="1"/>
  </si>
  <si>
    <r>
      <t>V2を可変すればV</t>
    </r>
    <r>
      <rPr>
        <sz val="10"/>
        <color theme="1"/>
        <rFont val="ＭＳ Ｐゴシック"/>
        <family val="3"/>
        <charset val="128"/>
        <scheme val="minor"/>
      </rPr>
      <t>TH</t>
    </r>
    <r>
      <rPr>
        <sz val="11"/>
        <color theme="1"/>
        <rFont val="ＭＳ Ｐゴシック"/>
        <family val="2"/>
        <charset val="128"/>
        <scheme val="minor"/>
      </rPr>
      <t>がシフトする</t>
    </r>
    <rPh sb="3" eb="5">
      <t>カヘン</t>
    </rPh>
    <phoneticPr fontId="1"/>
  </si>
  <si>
    <t>R1またはR2を可変すればヒステリシス幅が変化する</t>
    <rPh sb="8" eb="10">
      <t>カヘン</t>
    </rPh>
    <rPh sb="19" eb="20">
      <t>ハバ</t>
    </rPh>
    <rPh sb="21" eb="23">
      <t>ヘンカ</t>
    </rPh>
    <phoneticPr fontId="1"/>
  </si>
  <si>
    <t>↑R1またはR2とV2を調整することで任意のヒステリシス電圧を設定できる</t>
    <rPh sb="12" eb="14">
      <t>チョウセイ</t>
    </rPh>
    <rPh sb="19" eb="21">
      <t>ニンイ</t>
    </rPh>
    <rPh sb="28" eb="30">
      <t>デンアツ</t>
    </rPh>
    <rPh sb="31" eb="33">
      <t>セッテイ</t>
    </rPh>
    <phoneticPr fontId="1"/>
  </si>
  <si>
    <t>条件</t>
    <rPh sb="0" eb="2">
      <t>ジョウケン</t>
    </rPh>
    <phoneticPr fontId="1"/>
  </si>
  <si>
    <r>
      <t>・V</t>
    </r>
    <r>
      <rPr>
        <sz val="10"/>
        <color theme="1"/>
        <rFont val="ＭＳ Ｐゴシック"/>
        <family val="3"/>
        <charset val="128"/>
        <scheme val="minor"/>
      </rPr>
      <t>CC(R1)</t>
    </r>
    <r>
      <rPr>
        <sz val="11"/>
        <color theme="1"/>
        <rFont val="ＭＳ Ｐゴシック"/>
        <family val="2"/>
        <charset val="128"/>
        <scheme val="minor"/>
      </rPr>
      <t>=V</t>
    </r>
    <r>
      <rPr>
        <sz val="10"/>
        <color theme="1"/>
        <rFont val="ＭＳ Ｐゴシック"/>
        <family val="3"/>
        <charset val="128"/>
        <scheme val="minor"/>
      </rPr>
      <t>CC(R4)</t>
    </r>
    <phoneticPr fontId="1"/>
  </si>
  <si>
    <r>
      <t>・V</t>
    </r>
    <r>
      <rPr>
        <sz val="10"/>
        <color theme="1"/>
        <rFont val="ＭＳ Ｐゴシック"/>
        <family val="3"/>
        <charset val="128"/>
        <scheme val="minor"/>
      </rPr>
      <t>OL≒GND</t>
    </r>
    <phoneticPr fontId="1"/>
  </si>
  <si>
    <t>・V1は必ず反転入力</t>
    <rPh sb="4" eb="5">
      <t>カナラ</t>
    </rPh>
    <rPh sb="6" eb="8">
      <t>ハンテン</t>
    </rPh>
    <rPh sb="8" eb="10">
      <t>ニュウリョク</t>
    </rPh>
    <phoneticPr fontId="1"/>
  </si>
  <si>
    <t>・任意の可変は不可</t>
    <rPh sb="1" eb="3">
      <t>ニンイ</t>
    </rPh>
    <rPh sb="4" eb="6">
      <t>カヘン</t>
    </rPh>
    <rPh sb="7" eb="9">
      <t>フカ</t>
    </rPh>
    <phoneticPr fontId="1"/>
  </si>
</sst>
</file>

<file path=xl/styles.xml><?xml version="1.0" encoding="utf-8"?>
<styleSheet xmlns="http://schemas.openxmlformats.org/spreadsheetml/2006/main">
  <numFmts count="5">
    <numFmt numFmtId="176" formatCode="0.000_ "/>
    <numFmt numFmtId="177" formatCode="0&quot;：&quot;"/>
    <numFmt numFmtId="178" formatCode="0.000;_ࠀ"/>
    <numFmt numFmtId="179" formatCode="0.00_ "/>
    <numFmt numFmtId="180" formatCode="0_ "/>
  </numFmts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2" fillId="0" borderId="0" xfId="0" applyFon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10" xfId="0" applyNumberFormat="1" applyBorder="1">
      <alignment vertical="center"/>
    </xf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178" fontId="0" fillId="0" borderId="11" xfId="0" applyNumberFormat="1" applyBorder="1">
      <alignment vertical="center"/>
    </xf>
    <xf numFmtId="0" fontId="0" fillId="0" borderId="17" xfId="0" applyBorder="1">
      <alignment vertical="center"/>
    </xf>
    <xf numFmtId="0" fontId="2" fillId="0" borderId="5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7" xfId="0" applyFont="1" applyBorder="1">
      <alignment vertical="center"/>
    </xf>
    <xf numFmtId="179" fontId="2" fillId="0" borderId="10" xfId="0" applyNumberFormat="1" applyFont="1" applyBorder="1">
      <alignment vertical="center"/>
    </xf>
    <xf numFmtId="180" fontId="2" fillId="0" borderId="10" xfId="0" applyNumberFormat="1" applyFont="1" applyBorder="1">
      <alignment vertical="center"/>
    </xf>
    <xf numFmtId="0" fontId="0" fillId="0" borderId="18" xfId="0" applyBorder="1">
      <alignment vertical="center"/>
    </xf>
    <xf numFmtId="0" fontId="2" fillId="0" borderId="2" xfId="0" applyFont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2" fillId="0" borderId="15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561975</xdr:colOff>
      <xdr:row>16</xdr:row>
      <xdr:rowOff>123825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171450"/>
          <a:ext cx="39909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6</xdr:col>
      <xdr:colOff>457200</xdr:colOff>
      <xdr:row>44</xdr:row>
      <xdr:rowOff>133350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1450" y="4286250"/>
          <a:ext cx="3886200" cy="33909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235324</xdr:colOff>
      <xdr:row>5</xdr:row>
      <xdr:rowOff>56029</xdr:rowOff>
    </xdr:from>
    <xdr:to>
      <xdr:col>6</xdr:col>
      <xdr:colOff>44824</xdr:colOff>
      <xdr:row>7</xdr:row>
      <xdr:rowOff>11206</xdr:rowOff>
    </xdr:to>
    <xdr:sp macro="" textlink="">
      <xdr:nvSpPr>
        <xdr:cNvPr id="4" name="テキスト ボックス 3"/>
        <xdr:cNvSpPr txBox="1"/>
      </xdr:nvSpPr>
      <xdr:spPr>
        <a:xfrm>
          <a:off x="3137648" y="896470"/>
          <a:ext cx="493058" cy="291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510</a:t>
          </a:r>
          <a:endParaRPr kumimoji="1" lang="ja-JP" altLang="en-US" sz="1100"/>
        </a:p>
      </xdr:txBody>
    </xdr:sp>
    <xdr:clientData/>
  </xdr:twoCellAnchor>
  <xdr:twoCellAnchor>
    <xdr:from>
      <xdr:col>4</xdr:col>
      <xdr:colOff>369795</xdr:colOff>
      <xdr:row>29</xdr:row>
      <xdr:rowOff>145677</xdr:rowOff>
    </xdr:from>
    <xdr:to>
      <xdr:col>5</xdr:col>
      <xdr:colOff>179294</xdr:colOff>
      <xdr:row>31</xdr:row>
      <xdr:rowOff>100855</xdr:rowOff>
    </xdr:to>
    <xdr:sp macro="" textlink="">
      <xdr:nvSpPr>
        <xdr:cNvPr id="5" name="テキスト ボックス 4"/>
        <xdr:cNvSpPr txBox="1"/>
      </xdr:nvSpPr>
      <xdr:spPr>
        <a:xfrm>
          <a:off x="2588560" y="5042648"/>
          <a:ext cx="493058" cy="291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510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Y35"/>
  <sheetViews>
    <sheetView showGridLines="0" tabSelected="1" zoomScale="85" zoomScaleNormal="85" workbookViewId="0"/>
  </sheetViews>
  <sheetFormatPr defaultRowHeight="13.5"/>
  <cols>
    <col min="1" max="1" width="2.25" customWidth="1"/>
    <col min="12" max="12" width="2.25" customWidth="1"/>
    <col min="13" max="13" width="4.625" hidden="1" customWidth="1"/>
    <col min="14" max="14" width="6.5" hidden="1" customWidth="1"/>
    <col min="15" max="15" width="5.5" hidden="1" customWidth="1"/>
    <col min="16" max="16" width="4.625" bestFit="1" customWidth="1"/>
    <col min="17" max="17" width="7.125" bestFit="1" customWidth="1"/>
    <col min="18" max="18" width="6.25" bestFit="1" customWidth="1"/>
    <col min="19" max="19" width="4.625" bestFit="1" customWidth="1"/>
    <col min="20" max="20" width="7.125" bestFit="1" customWidth="1"/>
    <col min="21" max="21" width="6.25" bestFit="1" customWidth="1"/>
  </cols>
  <sheetData>
    <row r="2" spans="12:25">
      <c r="M2" s="18" t="s">
        <v>10</v>
      </c>
      <c r="P2" s="35" t="s">
        <v>14</v>
      </c>
      <c r="Q2" s="35"/>
      <c r="R2" s="35"/>
      <c r="S2" s="35" t="s">
        <v>15</v>
      </c>
      <c r="T2" s="35"/>
      <c r="U2" s="35"/>
      <c r="V2" s="2"/>
    </row>
    <row r="3" spans="12:25">
      <c r="L3" s="31"/>
      <c r="M3" s="3" t="s">
        <v>1</v>
      </c>
      <c r="N3" s="11">
        <v>5</v>
      </c>
      <c r="O3" s="8" t="s">
        <v>5</v>
      </c>
      <c r="P3" s="6" t="s">
        <v>1</v>
      </c>
      <c r="Q3" s="11">
        <v>5</v>
      </c>
      <c r="R3" s="8" t="s">
        <v>5</v>
      </c>
      <c r="S3" s="6" t="s">
        <v>1</v>
      </c>
      <c r="T3" s="11">
        <v>5</v>
      </c>
      <c r="U3" s="15" t="s">
        <v>5</v>
      </c>
      <c r="V3" s="33"/>
    </row>
    <row r="4" spans="12:25">
      <c r="L4" s="31"/>
      <c r="M4" s="4" t="s">
        <v>2</v>
      </c>
      <c r="N4" s="12">
        <v>0</v>
      </c>
      <c r="O4" s="9" t="s">
        <v>5</v>
      </c>
      <c r="P4" s="7" t="s">
        <v>2</v>
      </c>
      <c r="Q4" s="12">
        <v>0</v>
      </c>
      <c r="R4" s="9" t="s">
        <v>5</v>
      </c>
      <c r="S4" s="7" t="s">
        <v>2</v>
      </c>
      <c r="T4" s="12">
        <v>0</v>
      </c>
      <c r="U4" s="16" t="s">
        <v>5</v>
      </c>
      <c r="V4" s="33"/>
    </row>
    <row r="5" spans="12:25">
      <c r="L5" s="31"/>
      <c r="M5" s="4" t="s">
        <v>0</v>
      </c>
      <c r="N5" s="12">
        <v>1</v>
      </c>
      <c r="O5" s="9" t="s">
        <v>5</v>
      </c>
      <c r="P5" s="7" t="s">
        <v>0</v>
      </c>
      <c r="Q5" s="12">
        <v>3.89</v>
      </c>
      <c r="R5" s="9" t="s">
        <v>5</v>
      </c>
      <c r="S5" s="7" t="s">
        <v>7</v>
      </c>
      <c r="T5" s="21">
        <v>3</v>
      </c>
      <c r="U5" s="16" t="s">
        <v>5</v>
      </c>
      <c r="V5" s="33"/>
    </row>
    <row r="6" spans="12:25">
      <c r="L6" s="31"/>
      <c r="M6" s="4" t="s">
        <v>3</v>
      </c>
      <c r="N6" s="12">
        <v>100</v>
      </c>
      <c r="O6" s="9" t="s">
        <v>6</v>
      </c>
      <c r="P6" s="7" t="s">
        <v>9</v>
      </c>
      <c r="Q6" s="12">
        <v>0.5</v>
      </c>
      <c r="R6" s="9" t="s">
        <v>5</v>
      </c>
      <c r="S6" s="7" t="s">
        <v>8</v>
      </c>
      <c r="T6" s="21">
        <v>2</v>
      </c>
      <c r="U6" s="16" t="s">
        <v>5</v>
      </c>
      <c r="V6" s="33"/>
    </row>
    <row r="7" spans="12:25">
      <c r="L7" s="31"/>
      <c r="M7" s="4" t="s">
        <v>4</v>
      </c>
      <c r="N7" s="12">
        <v>900</v>
      </c>
      <c r="O7" s="9" t="s">
        <v>6</v>
      </c>
      <c r="P7" s="7" t="s">
        <v>3</v>
      </c>
      <c r="Q7" s="12">
        <v>100</v>
      </c>
      <c r="R7" s="9" t="s">
        <v>6</v>
      </c>
      <c r="S7" s="7" t="s">
        <v>3</v>
      </c>
      <c r="T7" s="12">
        <v>82</v>
      </c>
      <c r="U7" s="16" t="s">
        <v>6</v>
      </c>
      <c r="V7" s="33"/>
    </row>
    <row r="8" spans="12:25">
      <c r="L8" s="31"/>
      <c r="M8" s="4"/>
      <c r="N8" s="12"/>
      <c r="O8" s="9"/>
      <c r="P8" s="7"/>
      <c r="Q8" s="12"/>
      <c r="R8" s="9"/>
      <c r="S8" s="25"/>
      <c r="U8" s="16"/>
      <c r="V8" s="33"/>
    </row>
    <row r="9" spans="12:25">
      <c r="L9" s="31"/>
      <c r="M9" s="4" t="s">
        <v>7</v>
      </c>
      <c r="N9" s="13">
        <f>(N3-N5)*N6/(N6+N7)+N5</f>
        <v>1.4</v>
      </c>
      <c r="O9" s="9" t="s">
        <v>5</v>
      </c>
      <c r="P9" s="26" t="s">
        <v>4</v>
      </c>
      <c r="Q9" s="30">
        <f>Q7*(Q3-Q4)/Q6-Q7</f>
        <v>900</v>
      </c>
      <c r="R9" s="28" t="s">
        <v>6</v>
      </c>
      <c r="S9" s="26" t="s">
        <v>4</v>
      </c>
      <c r="T9" s="30">
        <f>T7*U15</f>
        <v>328</v>
      </c>
      <c r="U9" s="27" t="s">
        <v>6</v>
      </c>
      <c r="V9" s="33"/>
    </row>
    <row r="10" spans="12:25">
      <c r="L10" s="31"/>
      <c r="M10" s="4" t="s">
        <v>8</v>
      </c>
      <c r="N10" s="13">
        <f>(N4-N5)*N6/(N6+N7)+N5</f>
        <v>0.9</v>
      </c>
      <c r="O10" s="9" t="s">
        <v>5</v>
      </c>
      <c r="P10" s="4" t="s">
        <v>7</v>
      </c>
      <c r="Q10" s="13">
        <f>(Q3-Q5)*Q7/(Q7+Q9)+Q5</f>
        <v>4.0010000000000003</v>
      </c>
      <c r="R10" s="9" t="s">
        <v>5</v>
      </c>
      <c r="S10" s="26" t="s">
        <v>0</v>
      </c>
      <c r="T10" s="29">
        <f>(T6*(T7+T9)-T4*T7)/T9</f>
        <v>2.5</v>
      </c>
      <c r="U10" s="27" t="s">
        <v>5</v>
      </c>
      <c r="V10" s="33"/>
    </row>
    <row r="11" spans="12:25">
      <c r="L11" s="31"/>
      <c r="M11" s="5" t="s">
        <v>9</v>
      </c>
      <c r="N11" s="14">
        <f>N9-N10</f>
        <v>0.49999999999999989</v>
      </c>
      <c r="O11" s="10" t="s">
        <v>5</v>
      </c>
      <c r="P11" s="5" t="s">
        <v>8</v>
      </c>
      <c r="Q11" s="14">
        <f>(Q4-Q5)*Q7/(Q7+Q9)+Q5</f>
        <v>3.5010000000000003</v>
      </c>
      <c r="R11" s="10" t="s">
        <v>5</v>
      </c>
      <c r="S11" s="22" t="s">
        <v>9</v>
      </c>
      <c r="T11" s="24">
        <f>T5-T6</f>
        <v>1</v>
      </c>
      <c r="U11" s="17" t="s">
        <v>5</v>
      </c>
      <c r="V11" s="33"/>
      <c r="W11" s="2"/>
    </row>
    <row r="13" spans="12:25">
      <c r="N13" s="1"/>
      <c r="Q13" t="s">
        <v>11</v>
      </c>
      <c r="T13" t="s">
        <v>11</v>
      </c>
    </row>
    <row r="14" spans="12:25">
      <c r="O14" s="2"/>
      <c r="Q14" s="23" t="s">
        <v>12</v>
      </c>
      <c r="R14" t="s">
        <v>13</v>
      </c>
      <c r="T14" s="23" t="s">
        <v>12</v>
      </c>
      <c r="U14" t="s">
        <v>13</v>
      </c>
      <c r="X14" s="23"/>
    </row>
    <row r="15" spans="12:25">
      <c r="Q15" s="19">
        <v>1</v>
      </c>
      <c r="R15" s="20">
        <f>Q9/Q7</f>
        <v>9</v>
      </c>
      <c r="T15" s="19">
        <v>1</v>
      </c>
      <c r="U15" s="20">
        <f>(T3-T4-T11)/T11</f>
        <v>4</v>
      </c>
      <c r="X15" s="19"/>
      <c r="Y15" s="20"/>
    </row>
    <row r="18" spans="2:21">
      <c r="B18" t="s">
        <v>20</v>
      </c>
      <c r="R18" s="2"/>
    </row>
    <row r="19" spans="2:21">
      <c r="B19" t="s">
        <v>21</v>
      </c>
      <c r="R19" s="2"/>
    </row>
    <row r="20" spans="2:21">
      <c r="B20" t="s">
        <v>22</v>
      </c>
      <c r="R20" s="2"/>
    </row>
    <row r="21" spans="2:21">
      <c r="R21" s="2"/>
    </row>
    <row r="22" spans="2:21">
      <c r="B22" t="s">
        <v>18</v>
      </c>
      <c r="R22" s="2"/>
    </row>
    <row r="23" spans="2:21">
      <c r="B23" t="s">
        <v>19</v>
      </c>
      <c r="R23" s="2"/>
    </row>
    <row r="24" spans="2:21" ht="14.25" thickBot="1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</row>
    <row r="25" spans="2:21" ht="14.25" thickTop="1">
      <c r="R25" s="2"/>
    </row>
    <row r="26" spans="2:21">
      <c r="O26" s="2"/>
      <c r="P26" s="35" t="s">
        <v>15</v>
      </c>
      <c r="Q26" s="35"/>
      <c r="R26" s="35"/>
    </row>
    <row r="27" spans="2:21">
      <c r="H27" t="s">
        <v>23</v>
      </c>
      <c r="L27" s="31"/>
      <c r="O27" s="31"/>
      <c r="P27" s="6" t="s">
        <v>1</v>
      </c>
      <c r="Q27" s="11">
        <v>5</v>
      </c>
      <c r="R27" s="15" t="s">
        <v>5</v>
      </c>
    </row>
    <row r="28" spans="2:21">
      <c r="H28" t="s">
        <v>25</v>
      </c>
      <c r="L28" s="31"/>
      <c r="O28" s="31"/>
      <c r="P28" s="7" t="s">
        <v>2</v>
      </c>
      <c r="Q28" s="12">
        <v>0</v>
      </c>
      <c r="R28" s="16" t="s">
        <v>5</v>
      </c>
    </row>
    <row r="29" spans="2:21">
      <c r="H29" t="s">
        <v>24</v>
      </c>
      <c r="L29" s="31"/>
      <c r="O29" s="31"/>
      <c r="P29" s="7" t="s">
        <v>7</v>
      </c>
      <c r="Q29" s="21">
        <v>3.5</v>
      </c>
      <c r="R29" s="16" t="s">
        <v>5</v>
      </c>
    </row>
    <row r="30" spans="2:21">
      <c r="H30" t="s">
        <v>26</v>
      </c>
      <c r="L30" s="31"/>
      <c r="O30" s="31"/>
      <c r="P30" s="7" t="s">
        <v>8</v>
      </c>
      <c r="Q30" s="21">
        <v>3.4</v>
      </c>
      <c r="R30" s="16" t="s">
        <v>5</v>
      </c>
    </row>
    <row r="31" spans="2:21">
      <c r="H31" t="s">
        <v>27</v>
      </c>
      <c r="L31" s="31"/>
      <c r="O31" s="31"/>
      <c r="P31" s="7" t="s">
        <v>16</v>
      </c>
      <c r="Q31" s="12">
        <v>820</v>
      </c>
      <c r="R31" s="16" t="s">
        <v>6</v>
      </c>
    </row>
    <row r="32" spans="2:21">
      <c r="L32" s="31"/>
      <c r="O32" s="31"/>
      <c r="Q32" s="12"/>
      <c r="R32" s="16"/>
    </row>
    <row r="33" spans="15:18">
      <c r="O33" s="31"/>
      <c r="P33" s="32" t="s">
        <v>17</v>
      </c>
      <c r="Q33" s="30">
        <f>Q31*Q35/(Q27-Q35-Q31*Q35/Q34)</f>
        <v>24.117647058823547</v>
      </c>
      <c r="R33" s="27" t="s">
        <v>6</v>
      </c>
    </row>
    <row r="34" spans="15:18">
      <c r="P34" s="32" t="s">
        <v>4</v>
      </c>
      <c r="Q34" s="30">
        <f>Q35/(Q27-Q30-Q35)*Q31</f>
        <v>54.666666666666714</v>
      </c>
      <c r="R34" s="27" t="s">
        <v>6</v>
      </c>
    </row>
    <row r="35" spans="15:18">
      <c r="P35" s="5" t="s">
        <v>9</v>
      </c>
      <c r="Q35" s="24">
        <f>Q29-Q30</f>
        <v>0.10000000000000009</v>
      </c>
      <c r="R35" s="17" t="s">
        <v>5</v>
      </c>
    </row>
  </sheetData>
  <mergeCells count="3">
    <mergeCell ref="P2:R2"/>
    <mergeCell ref="S2:U2"/>
    <mergeCell ref="P26:R26"/>
  </mergeCells>
  <phoneticPr fontId="1"/>
  <pageMargins left="0.7" right="0.7" top="0.75" bottom="0.75" header="0.3" footer="0.3"/>
  <pageSetup paperSize="9" orientation="portrait" r:id="rId1"/>
  <drawing r:id="rId2"/>
  <legacyDrawing r:id="rId3"/>
  <oleObjects>
    <oleObject progId="Equation.3" shapeId="1027" r:id="rId4"/>
    <oleObject progId="Equation.3" shapeId="1031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shuto</dc:creator>
  <cp:lastModifiedBy>shuto</cp:lastModifiedBy>
  <dcterms:created xsi:type="dcterms:W3CDTF">2010-10-16T07:33:26Z</dcterms:created>
  <dcterms:modified xsi:type="dcterms:W3CDTF">2010-10-18T13:21:36Z</dcterms:modified>
</cp:coreProperties>
</file>