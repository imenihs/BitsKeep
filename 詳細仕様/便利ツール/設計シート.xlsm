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60" windowWidth="24675" windowHeight="13170" firstSheet="1" activeTab="4"/>
  </bookViews>
  <sheets>
    <sheet name="R調整" sheetId="1" r:id="rId1"/>
    <sheet name="VR基準電圧調整" sheetId="2" r:id="rId2"/>
    <sheet name="E24系列" sheetId="4" state="hidden" r:id="rId3"/>
    <sheet name="JK-FF同期カウンタ" sheetId="9" r:id="rId4"/>
    <sheet name="D-FF同期カウンタ" sheetId="10" r:id="rId5"/>
    <sheet name="E系列部品選定" sheetId="8" r:id="rId6"/>
    <sheet name="要チェック回路" sheetId="11" r:id="rId7"/>
    <sheet name="JK-FF同期N進カウンタ_old" sheetId="6" state="hidden" r:id="rId8"/>
    <sheet name="D-FF同期N進カウンタ_old" sheetId="7" state="hidden" r:id="rId9"/>
  </sheets>
  <calcPr calcId="125725"/>
</workbook>
</file>

<file path=xl/calcChain.xml><?xml version="1.0" encoding="utf-8"?>
<calcChain xmlns="http://schemas.openxmlformats.org/spreadsheetml/2006/main">
  <c r="C7" i="8"/>
  <c r="Q12" i="9"/>
  <c r="Q15"/>
  <c r="F18"/>
  <c r="M27" i="10"/>
  <c r="Q27" s="1"/>
  <c r="Z22" s="1"/>
  <c r="F27"/>
  <c r="E27"/>
  <c r="D27"/>
  <c r="C27"/>
  <c r="M26"/>
  <c r="F26"/>
  <c r="E26"/>
  <c r="D26"/>
  <c r="C26"/>
  <c r="M25"/>
  <c r="Q25" s="1"/>
  <c r="Y22" s="1"/>
  <c r="F25"/>
  <c r="E25"/>
  <c r="D25"/>
  <c r="C25"/>
  <c r="M24"/>
  <c r="F24"/>
  <c r="E24"/>
  <c r="D24"/>
  <c r="C24"/>
  <c r="M23"/>
  <c r="Q23" s="1"/>
  <c r="Z23" s="1"/>
  <c r="F23"/>
  <c r="E23"/>
  <c r="D23"/>
  <c r="C23"/>
  <c r="M22"/>
  <c r="F22"/>
  <c r="E22"/>
  <c r="D22"/>
  <c r="C22"/>
  <c r="M21"/>
  <c r="Q21" s="1"/>
  <c r="Y23" s="1"/>
  <c r="F21"/>
  <c r="E21"/>
  <c r="D21"/>
  <c r="C21"/>
  <c r="M20"/>
  <c r="F20"/>
  <c r="E20"/>
  <c r="D20"/>
  <c r="C20"/>
  <c r="M19"/>
  <c r="F19"/>
  <c r="E19"/>
  <c r="D19"/>
  <c r="C19"/>
  <c r="M18"/>
  <c r="F18"/>
  <c r="E18"/>
  <c r="D18"/>
  <c r="C18"/>
  <c r="M17"/>
  <c r="F17"/>
  <c r="E17"/>
  <c r="D17"/>
  <c r="C17"/>
  <c r="M16"/>
  <c r="F16"/>
  <c r="E16"/>
  <c r="D16"/>
  <c r="C16"/>
  <c r="M15"/>
  <c r="F15"/>
  <c r="E15"/>
  <c r="I14" s="1"/>
  <c r="D15"/>
  <c r="C15"/>
  <c r="M14"/>
  <c r="F14"/>
  <c r="J13" s="1"/>
  <c r="E14"/>
  <c r="I13" s="1"/>
  <c r="D14"/>
  <c r="H13" s="1"/>
  <c r="C14"/>
  <c r="G13" s="1"/>
  <c r="M13"/>
  <c r="F13"/>
  <c r="J12" s="1"/>
  <c r="E13"/>
  <c r="I12" s="1"/>
  <c r="D13"/>
  <c r="H12" s="1"/>
  <c r="C13"/>
  <c r="G12" s="1"/>
  <c r="M12"/>
  <c r="F12"/>
  <c r="J15" s="1"/>
  <c r="E12"/>
  <c r="I15" s="1"/>
  <c r="D12"/>
  <c r="H15" s="1"/>
  <c r="C12"/>
  <c r="G27" s="1"/>
  <c r="Q18" i="9"/>
  <c r="Q27"/>
  <c r="F27"/>
  <c r="N27" s="1"/>
  <c r="E27"/>
  <c r="L27" s="1"/>
  <c r="D27"/>
  <c r="J27" s="1"/>
  <c r="C27"/>
  <c r="H27" s="1"/>
  <c r="Q26"/>
  <c r="F26"/>
  <c r="N26" s="1"/>
  <c r="E26"/>
  <c r="L26" s="1"/>
  <c r="D26"/>
  <c r="J26" s="1"/>
  <c r="C26"/>
  <c r="H26" s="1"/>
  <c r="Q25"/>
  <c r="F25"/>
  <c r="N25" s="1"/>
  <c r="E25"/>
  <c r="L25" s="1"/>
  <c r="D25"/>
  <c r="C25"/>
  <c r="Q24"/>
  <c r="F24"/>
  <c r="N24" s="1"/>
  <c r="E24"/>
  <c r="L24" s="1"/>
  <c r="D24"/>
  <c r="J24" s="1"/>
  <c r="C24"/>
  <c r="H24" s="1"/>
  <c r="Q23"/>
  <c r="F23"/>
  <c r="E23"/>
  <c r="D23"/>
  <c r="J23" s="1"/>
  <c r="C23"/>
  <c r="Q22"/>
  <c r="F22"/>
  <c r="E22"/>
  <c r="L22" s="1"/>
  <c r="D22"/>
  <c r="C22"/>
  <c r="Q21"/>
  <c r="F21"/>
  <c r="N21" s="1"/>
  <c r="E21"/>
  <c r="L21" s="1"/>
  <c r="D21"/>
  <c r="C21"/>
  <c r="Q20"/>
  <c r="F20"/>
  <c r="N20" s="1"/>
  <c r="E20"/>
  <c r="D20"/>
  <c r="C20"/>
  <c r="Q19"/>
  <c r="F19"/>
  <c r="E19"/>
  <c r="D19"/>
  <c r="J19" s="1"/>
  <c r="C19"/>
  <c r="H19" s="1"/>
  <c r="E18"/>
  <c r="L18" s="1"/>
  <c r="D18"/>
  <c r="C18"/>
  <c r="H18" s="1"/>
  <c r="Q17"/>
  <c r="F17"/>
  <c r="E17"/>
  <c r="L17" s="1"/>
  <c r="D17"/>
  <c r="J17" s="1"/>
  <c r="C17"/>
  <c r="Q16"/>
  <c r="F16"/>
  <c r="N16" s="1"/>
  <c r="E16"/>
  <c r="D16"/>
  <c r="C16"/>
  <c r="F15"/>
  <c r="E15"/>
  <c r="D15"/>
  <c r="C15"/>
  <c r="Q14"/>
  <c r="F14"/>
  <c r="E14"/>
  <c r="D14"/>
  <c r="C14"/>
  <c r="Q13"/>
  <c r="F13"/>
  <c r="E13"/>
  <c r="D13"/>
  <c r="C13"/>
  <c r="F12"/>
  <c r="N12" s="1"/>
  <c r="E12"/>
  <c r="L12" s="1"/>
  <c r="D12"/>
  <c r="J12" s="1"/>
  <c r="C12"/>
  <c r="H12" s="1"/>
  <c r="C11" i="6"/>
  <c r="D26"/>
  <c r="M11"/>
  <c r="M26"/>
  <c r="N26" s="1"/>
  <c r="M19"/>
  <c r="M13"/>
  <c r="M12"/>
  <c r="C2" i="8"/>
  <c r="A10"/>
  <c r="A11" s="1"/>
  <c r="E5"/>
  <c r="D5" s="1"/>
  <c r="G14" i="10" l="1"/>
  <c r="J14"/>
  <c r="H14"/>
  <c r="N19" i="9"/>
  <c r="H17"/>
  <c r="J14"/>
  <c r="H14"/>
  <c r="I17"/>
  <c r="P18" i="10"/>
  <c r="AH21" s="1"/>
  <c r="J16" i="9"/>
  <c r="N14"/>
  <c r="M14"/>
  <c r="I13"/>
  <c r="G26" i="10"/>
  <c r="G25"/>
  <c r="G24"/>
  <c r="G23"/>
  <c r="G22"/>
  <c r="G21"/>
  <c r="G20"/>
  <c r="G19"/>
  <c r="G18"/>
  <c r="G17"/>
  <c r="G16"/>
  <c r="G15"/>
  <c r="N16" s="1"/>
  <c r="AW21" s="1"/>
  <c r="H27"/>
  <c r="H26"/>
  <c r="H25"/>
  <c r="H24"/>
  <c r="H23"/>
  <c r="H22"/>
  <c r="H21"/>
  <c r="H20"/>
  <c r="H19"/>
  <c r="H18"/>
  <c r="H17"/>
  <c r="H16"/>
  <c r="I27"/>
  <c r="I26"/>
  <c r="I25"/>
  <c r="I24"/>
  <c r="I23"/>
  <c r="I22"/>
  <c r="I21"/>
  <c r="I20"/>
  <c r="I19"/>
  <c r="I18"/>
  <c r="I17"/>
  <c r="I16"/>
  <c r="J27"/>
  <c r="J26"/>
  <c r="J25"/>
  <c r="J24"/>
  <c r="J23"/>
  <c r="J22"/>
  <c r="J21"/>
  <c r="J20"/>
  <c r="J19"/>
  <c r="J18"/>
  <c r="J17"/>
  <c r="J16"/>
  <c r="Q19" s="1"/>
  <c r="P14"/>
  <c r="N22"/>
  <c r="AU24" s="1"/>
  <c r="N23"/>
  <c r="AU23" s="1"/>
  <c r="O14"/>
  <c r="AO24" s="1"/>
  <c r="P24"/>
  <c r="AF21" s="1"/>
  <c r="N26"/>
  <c r="AU21" s="1"/>
  <c r="P23"/>
  <c r="AG23" s="1"/>
  <c r="O26"/>
  <c r="AN21" s="1"/>
  <c r="N14"/>
  <c r="AV24" s="1"/>
  <c r="O18"/>
  <c r="AO21" s="1"/>
  <c r="N19"/>
  <c r="AV22" s="1"/>
  <c r="N20"/>
  <c r="AT24" s="1"/>
  <c r="N24"/>
  <c r="AT21" s="1"/>
  <c r="P15"/>
  <c r="AO13" s="1"/>
  <c r="Q14"/>
  <c r="N12"/>
  <c r="AW24" s="1"/>
  <c r="P16"/>
  <c r="Q18"/>
  <c r="AA21" s="1"/>
  <c r="P22"/>
  <c r="AG24" s="1"/>
  <c r="P26"/>
  <c r="AG21" s="1"/>
  <c r="P27"/>
  <c r="AG22" s="1"/>
  <c r="N18"/>
  <c r="AV21" s="1"/>
  <c r="P19"/>
  <c r="AH22" s="1"/>
  <c r="O22"/>
  <c r="AN24" s="1"/>
  <c r="P13"/>
  <c r="P20"/>
  <c r="AF24" s="1"/>
  <c r="Q22"/>
  <c r="Z24" s="1"/>
  <c r="Q26"/>
  <c r="Z21" s="1"/>
  <c r="N27"/>
  <c r="AU22" s="1"/>
  <c r="AJ13"/>
  <c r="AQ13"/>
  <c r="AR13"/>
  <c r="AH24"/>
  <c r="AC13"/>
  <c r="N15"/>
  <c r="AV23" s="1"/>
  <c r="O13"/>
  <c r="Q13"/>
  <c r="AX13"/>
  <c r="O17"/>
  <c r="Q17"/>
  <c r="Q12"/>
  <c r="P12"/>
  <c r="O16"/>
  <c r="Q16"/>
  <c r="O20"/>
  <c r="AM24" s="1"/>
  <c r="Q20"/>
  <c r="Y24" s="1"/>
  <c r="O24"/>
  <c r="AM21" s="1"/>
  <c r="Q24"/>
  <c r="Y21" s="1"/>
  <c r="O12"/>
  <c r="Q15"/>
  <c r="N13"/>
  <c r="AW23" s="1"/>
  <c r="O15"/>
  <c r="N17"/>
  <c r="AW22" s="1"/>
  <c r="P17"/>
  <c r="O19"/>
  <c r="N21"/>
  <c r="AT23" s="1"/>
  <c r="P21"/>
  <c r="AF23" s="1"/>
  <c r="O23"/>
  <c r="AN23" s="1"/>
  <c r="N25"/>
  <c r="AT22" s="1"/>
  <c r="P25"/>
  <c r="AF22" s="1"/>
  <c r="O27"/>
  <c r="AN22" s="1"/>
  <c r="O21"/>
  <c r="AM23" s="1"/>
  <c r="O25"/>
  <c r="AM22" s="1"/>
  <c r="G13" i="9"/>
  <c r="M13"/>
  <c r="K13"/>
  <c r="G15"/>
  <c r="I18"/>
  <c r="G20"/>
  <c r="G23"/>
  <c r="H25"/>
  <c r="J25"/>
  <c r="H22"/>
  <c r="H21"/>
  <c r="J21"/>
  <c r="J20"/>
  <c r="L19"/>
  <c r="N17"/>
  <c r="K14"/>
  <c r="H13"/>
  <c r="L13"/>
  <c r="J13"/>
  <c r="N13"/>
  <c r="I22"/>
  <c r="I14"/>
  <c r="G16"/>
  <c r="M22"/>
  <c r="K23"/>
  <c r="K16"/>
  <c r="L14"/>
  <c r="M18"/>
  <c r="K20"/>
  <c r="M23"/>
  <c r="G14"/>
  <c r="N22"/>
  <c r="J22"/>
  <c r="G22"/>
  <c r="K22"/>
  <c r="M21"/>
  <c r="I21"/>
  <c r="G21"/>
  <c r="K21"/>
  <c r="L20"/>
  <c r="H20"/>
  <c r="M20"/>
  <c r="I20"/>
  <c r="K19"/>
  <c r="G19"/>
  <c r="M19"/>
  <c r="I19"/>
  <c r="N18"/>
  <c r="J18"/>
  <c r="G18"/>
  <c r="K18"/>
  <c r="M17"/>
  <c r="G17"/>
  <c r="K17"/>
  <c r="L16"/>
  <c r="H16"/>
  <c r="M16"/>
  <c r="I16"/>
  <c r="K15"/>
  <c r="L15"/>
  <c r="W12" s="1"/>
  <c r="H15"/>
  <c r="M15"/>
  <c r="X18" s="1"/>
  <c r="AN13" s="1"/>
  <c r="I15"/>
  <c r="N15"/>
  <c r="J15"/>
  <c r="U12" s="1"/>
  <c r="AT36" s="1"/>
  <c r="Y26"/>
  <c r="AD33" s="1"/>
  <c r="G27"/>
  <c r="K26"/>
  <c r="V19" s="1"/>
  <c r="M24"/>
  <c r="X23" s="1"/>
  <c r="AD28" s="1"/>
  <c r="I24"/>
  <c r="L23"/>
  <c r="H23"/>
  <c r="G26"/>
  <c r="K27"/>
  <c r="G12"/>
  <c r="K25"/>
  <c r="I23"/>
  <c r="M26"/>
  <c r="X19" s="1"/>
  <c r="I26"/>
  <c r="K24"/>
  <c r="V23" s="1"/>
  <c r="AK28" s="1"/>
  <c r="N23"/>
  <c r="G24"/>
  <c r="I27"/>
  <c r="M27"/>
  <c r="M25"/>
  <c r="I25"/>
  <c r="G25"/>
  <c r="W24"/>
  <c r="AJ33" s="1"/>
  <c r="Y27"/>
  <c r="AD34" s="1"/>
  <c r="X24"/>
  <c r="AC26" s="1"/>
  <c r="X14"/>
  <c r="AE29" s="1"/>
  <c r="W27"/>
  <c r="AK34" s="1"/>
  <c r="W20"/>
  <c r="AJ36" s="1"/>
  <c r="W14"/>
  <c r="AL36" s="1"/>
  <c r="Y17"/>
  <c r="K12"/>
  <c r="V12" s="1"/>
  <c r="AM29" s="1"/>
  <c r="V17"/>
  <c r="Y21"/>
  <c r="AC35" s="1"/>
  <c r="Y25"/>
  <c r="AC34" s="1"/>
  <c r="U27"/>
  <c r="AR34" s="1"/>
  <c r="S12"/>
  <c r="BA36" s="1"/>
  <c r="X22"/>
  <c r="AD29" s="1"/>
  <c r="V21"/>
  <c r="AJ28" s="1"/>
  <c r="W16"/>
  <c r="X16"/>
  <c r="W26"/>
  <c r="AK33" s="1"/>
  <c r="V27"/>
  <c r="AK27" s="1"/>
  <c r="T27"/>
  <c r="AR27" s="1"/>
  <c r="X27"/>
  <c r="AD27" s="1"/>
  <c r="X26"/>
  <c r="AD26" s="1"/>
  <c r="V26"/>
  <c r="AK26" s="1"/>
  <c r="U26"/>
  <c r="AR33" s="1"/>
  <c r="V25"/>
  <c r="AJ27" s="1"/>
  <c r="W25"/>
  <c r="AJ34" s="1"/>
  <c r="X25"/>
  <c r="AC27" s="1"/>
  <c r="T25"/>
  <c r="AQ27" s="1"/>
  <c r="V24"/>
  <c r="AJ26" s="1"/>
  <c r="Y23"/>
  <c r="AD35" s="1"/>
  <c r="Y24"/>
  <c r="AC33" s="1"/>
  <c r="W23"/>
  <c r="AK35" s="1"/>
  <c r="W22"/>
  <c r="AK36" s="1"/>
  <c r="T23"/>
  <c r="AR28" s="1"/>
  <c r="Y22"/>
  <c r="AD36" s="1"/>
  <c r="V22"/>
  <c r="AK29" s="1"/>
  <c r="U22"/>
  <c r="AR36" s="1"/>
  <c r="W21"/>
  <c r="AJ35" s="1"/>
  <c r="X21"/>
  <c r="AC28" s="1"/>
  <c r="U21"/>
  <c r="AQ35" s="1"/>
  <c r="Y19"/>
  <c r="S20"/>
  <c r="AX36" s="1"/>
  <c r="Y20"/>
  <c r="AC36" s="1"/>
  <c r="W19"/>
  <c r="AL34" s="1"/>
  <c r="R19"/>
  <c r="AZ27" s="1"/>
  <c r="W18"/>
  <c r="AL33" s="1"/>
  <c r="T19"/>
  <c r="Y18"/>
  <c r="V18"/>
  <c r="U18"/>
  <c r="R18"/>
  <c r="AZ26" s="1"/>
  <c r="R16"/>
  <c r="BA26" s="1"/>
  <c r="S18"/>
  <c r="AZ33" s="1"/>
  <c r="W17"/>
  <c r="X17"/>
  <c r="T17"/>
  <c r="V16"/>
  <c r="Y16"/>
  <c r="W15"/>
  <c r="AL35" s="1"/>
  <c r="R15"/>
  <c r="AZ28" s="1"/>
  <c r="Y15"/>
  <c r="AE35" s="1"/>
  <c r="Y14"/>
  <c r="AE36" s="1"/>
  <c r="V14"/>
  <c r="AL29" s="1"/>
  <c r="U14"/>
  <c r="W13"/>
  <c r="AM35" s="1"/>
  <c r="V13"/>
  <c r="AM28" s="1"/>
  <c r="R12"/>
  <c r="BA29" s="1"/>
  <c r="M12"/>
  <c r="I12"/>
  <c r="U13"/>
  <c r="Y13"/>
  <c r="AF35" s="1"/>
  <c r="S19"/>
  <c r="AZ34" s="1"/>
  <c r="R22"/>
  <c r="AY29" s="1"/>
  <c r="R23"/>
  <c r="AY28" s="1"/>
  <c r="S15"/>
  <c r="AZ35" s="1"/>
  <c r="T26"/>
  <c r="AR26" s="1"/>
  <c r="T14"/>
  <c r="R20"/>
  <c r="AX29" s="1"/>
  <c r="R24"/>
  <c r="AX26" s="1"/>
  <c r="T22"/>
  <c r="AR29" s="1"/>
  <c r="S26"/>
  <c r="AY33" s="1"/>
  <c r="S27"/>
  <c r="AY34" s="1"/>
  <c r="S16"/>
  <c r="BA33" s="1"/>
  <c r="S22"/>
  <c r="AY36" s="1"/>
  <c r="S23"/>
  <c r="AY35" s="1"/>
  <c r="R26"/>
  <c r="AY26" s="1"/>
  <c r="R27"/>
  <c r="AY27" s="1"/>
  <c r="T20"/>
  <c r="AQ29" s="1"/>
  <c r="R13"/>
  <c r="BA28" s="1"/>
  <c r="U24"/>
  <c r="AQ33" s="1"/>
  <c r="R17"/>
  <c r="BA27" s="1"/>
  <c r="S14"/>
  <c r="AZ36" s="1"/>
  <c r="R14"/>
  <c r="AZ29" s="1"/>
  <c r="U16"/>
  <c r="T21"/>
  <c r="AQ28" s="1"/>
  <c r="U15"/>
  <c r="T16"/>
  <c r="S17"/>
  <c r="BA34" s="1"/>
  <c r="U19"/>
  <c r="S21"/>
  <c r="AX35" s="1"/>
  <c r="U23"/>
  <c r="AR35" s="1"/>
  <c r="T24"/>
  <c r="AQ26" s="1"/>
  <c r="S25"/>
  <c r="AX34" s="1"/>
  <c r="U17"/>
  <c r="S24"/>
  <c r="AX33" s="1"/>
  <c r="S13"/>
  <c r="BA35" s="1"/>
  <c r="R21"/>
  <c r="AX28" s="1"/>
  <c r="R25"/>
  <c r="AX27" s="1"/>
  <c r="U25"/>
  <c r="AQ34" s="1"/>
  <c r="E7" i="8"/>
  <c r="G7"/>
  <c r="I7"/>
  <c r="K7"/>
  <c r="M7"/>
  <c r="O7"/>
  <c r="Q7"/>
  <c r="S7"/>
  <c r="U7"/>
  <c r="W7"/>
  <c r="Y7"/>
  <c r="C8"/>
  <c r="E8"/>
  <c r="G8"/>
  <c r="I8"/>
  <c r="K8"/>
  <c r="M8"/>
  <c r="O8"/>
  <c r="Q8"/>
  <c r="S8"/>
  <c r="U8"/>
  <c r="W8"/>
  <c r="Y8"/>
  <c r="C9"/>
  <c r="E9"/>
  <c r="G9"/>
  <c r="I9"/>
  <c r="K9"/>
  <c r="M9"/>
  <c r="O9"/>
  <c r="Q9"/>
  <c r="S9"/>
  <c r="U9"/>
  <c r="W9"/>
  <c r="Y9"/>
  <c r="C10"/>
  <c r="E10"/>
  <c r="G10"/>
  <c r="I10"/>
  <c r="K10"/>
  <c r="M10"/>
  <c r="O10"/>
  <c r="Q10"/>
  <c r="S10"/>
  <c r="U10"/>
  <c r="W10"/>
  <c r="Y10"/>
  <c r="C11"/>
  <c r="E11"/>
  <c r="G11"/>
  <c r="I11"/>
  <c r="K11"/>
  <c r="M11"/>
  <c r="O11"/>
  <c r="Q11"/>
  <c r="S11"/>
  <c r="U11"/>
  <c r="W11"/>
  <c r="Y11"/>
  <c r="C12"/>
  <c r="E12"/>
  <c r="G12"/>
  <c r="I12"/>
  <c r="K12"/>
  <c r="M12"/>
  <c r="O12"/>
  <c r="Q12"/>
  <c r="S12"/>
  <c r="U12"/>
  <c r="W12"/>
  <c r="Y12"/>
  <c r="C13"/>
  <c r="E13"/>
  <c r="G13"/>
  <c r="I13"/>
  <c r="K13"/>
  <c r="M13"/>
  <c r="O13"/>
  <c r="Q13"/>
  <c r="S13"/>
  <c r="U13"/>
  <c r="W13"/>
  <c r="Y13"/>
  <c r="C14"/>
  <c r="E14"/>
  <c r="G14"/>
  <c r="I14"/>
  <c r="K14"/>
  <c r="M14"/>
  <c r="O14"/>
  <c r="Q14"/>
  <c r="S14"/>
  <c r="U14"/>
  <c r="W14"/>
  <c r="Y14"/>
  <c r="C15"/>
  <c r="E15"/>
  <c r="G15"/>
  <c r="I15"/>
  <c r="K15"/>
  <c r="M15"/>
  <c r="O15"/>
  <c r="Q15"/>
  <c r="S15"/>
  <c r="U15"/>
  <c r="W15"/>
  <c r="Y15"/>
  <c r="C16"/>
  <c r="E16"/>
  <c r="G16"/>
  <c r="I16"/>
  <c r="K16"/>
  <c r="M16"/>
  <c r="O16"/>
  <c r="Q16"/>
  <c r="S16"/>
  <c r="U16"/>
  <c r="W16"/>
  <c r="Y16"/>
  <c r="C17"/>
  <c r="E17"/>
  <c r="G17"/>
  <c r="I17"/>
  <c r="K17"/>
  <c r="M17"/>
  <c r="O17"/>
  <c r="Q17"/>
  <c r="S17"/>
  <c r="U17"/>
  <c r="W17"/>
  <c r="Y17"/>
  <c r="C18"/>
  <c r="E18"/>
  <c r="G18"/>
  <c r="I18"/>
  <c r="K18"/>
  <c r="M18"/>
  <c r="O18"/>
  <c r="Q18"/>
  <c r="S18"/>
  <c r="U18"/>
  <c r="W18"/>
  <c r="Y18"/>
  <c r="C19"/>
  <c r="E19"/>
  <c r="G19"/>
  <c r="I19"/>
  <c r="K19"/>
  <c r="M19"/>
  <c r="O19"/>
  <c r="Q19"/>
  <c r="S19"/>
  <c r="U19"/>
  <c r="W19"/>
  <c r="Y19"/>
  <c r="C20"/>
  <c r="E20"/>
  <c r="G20"/>
  <c r="I20"/>
  <c r="K20"/>
  <c r="M20"/>
  <c r="O20"/>
  <c r="Q20"/>
  <c r="S20"/>
  <c r="U20"/>
  <c r="W20"/>
  <c r="Y20"/>
  <c r="C21"/>
  <c r="E21"/>
  <c r="G21"/>
  <c r="I21"/>
  <c r="K21"/>
  <c r="M21"/>
  <c r="O21"/>
  <c r="Q21"/>
  <c r="S21"/>
  <c r="U21"/>
  <c r="W21"/>
  <c r="Y21"/>
  <c r="C22"/>
  <c r="E22"/>
  <c r="G22"/>
  <c r="I22"/>
  <c r="K22"/>
  <c r="M22"/>
  <c r="O22"/>
  <c r="Q22"/>
  <c r="S22"/>
  <c r="U22"/>
  <c r="W22"/>
  <c r="Y22"/>
  <c r="C23"/>
  <c r="E23"/>
  <c r="G23"/>
  <c r="I23"/>
  <c r="K23"/>
  <c r="M23"/>
  <c r="O23"/>
  <c r="Q23"/>
  <c r="S23"/>
  <c r="U23"/>
  <c r="W23"/>
  <c r="Y23"/>
  <c r="C24"/>
  <c r="E24"/>
  <c r="G24"/>
  <c r="I24"/>
  <c r="K24"/>
  <c r="M24"/>
  <c r="O24"/>
  <c r="Q24"/>
  <c r="S24"/>
  <c r="U24"/>
  <c r="W24"/>
  <c r="Y24"/>
  <c r="C25"/>
  <c r="E25"/>
  <c r="G25"/>
  <c r="I25"/>
  <c r="K25"/>
  <c r="M25"/>
  <c r="O25"/>
  <c r="Q25"/>
  <c r="S25"/>
  <c r="U25"/>
  <c r="W25"/>
  <c r="Y25"/>
  <c r="C26"/>
  <c r="E26"/>
  <c r="G26"/>
  <c r="I26"/>
  <c r="K26"/>
  <c r="M26"/>
  <c r="O26"/>
  <c r="Q26"/>
  <c r="S26"/>
  <c r="U26"/>
  <c r="W26"/>
  <c r="Y26"/>
  <c r="C27"/>
  <c r="E27"/>
  <c r="G27"/>
  <c r="I27"/>
  <c r="K27"/>
  <c r="M27"/>
  <c r="O27"/>
  <c r="Q27"/>
  <c r="S27"/>
  <c r="U27"/>
  <c r="W27"/>
  <c r="Y27"/>
  <c r="D7"/>
  <c r="F7"/>
  <c r="H7"/>
  <c r="J7"/>
  <c r="L7"/>
  <c r="N7"/>
  <c r="P7"/>
  <c r="R7"/>
  <c r="T7"/>
  <c r="V7"/>
  <c r="X7"/>
  <c r="Z7"/>
  <c r="D8"/>
  <c r="F8"/>
  <c r="H8"/>
  <c r="J8"/>
  <c r="L8"/>
  <c r="N8"/>
  <c r="P8"/>
  <c r="R8"/>
  <c r="T8"/>
  <c r="V8"/>
  <c r="X8"/>
  <c r="Z8"/>
  <c r="D9"/>
  <c r="F9"/>
  <c r="H9"/>
  <c r="J9"/>
  <c r="L9"/>
  <c r="N9"/>
  <c r="P9"/>
  <c r="R9"/>
  <c r="T9"/>
  <c r="V9"/>
  <c r="X9"/>
  <c r="Z9"/>
  <c r="D10"/>
  <c r="F10"/>
  <c r="H10"/>
  <c r="J10"/>
  <c r="L10"/>
  <c r="N10"/>
  <c r="P10"/>
  <c r="R10"/>
  <c r="T10"/>
  <c r="V10"/>
  <c r="X10"/>
  <c r="Z10"/>
  <c r="D11"/>
  <c r="F11"/>
  <c r="H11"/>
  <c r="J11"/>
  <c r="L11"/>
  <c r="N11"/>
  <c r="P11"/>
  <c r="R11"/>
  <c r="T11"/>
  <c r="V11"/>
  <c r="X11"/>
  <c r="Z11"/>
  <c r="D12"/>
  <c r="F12"/>
  <c r="H12"/>
  <c r="J12"/>
  <c r="L12"/>
  <c r="N12"/>
  <c r="P12"/>
  <c r="R12"/>
  <c r="T12"/>
  <c r="V12"/>
  <c r="X12"/>
  <c r="Z12"/>
  <c r="D13"/>
  <c r="F13"/>
  <c r="H13"/>
  <c r="J13"/>
  <c r="L13"/>
  <c r="N13"/>
  <c r="P13"/>
  <c r="R13"/>
  <c r="T13"/>
  <c r="V13"/>
  <c r="X13"/>
  <c r="Z13"/>
  <c r="D14"/>
  <c r="F14"/>
  <c r="H14"/>
  <c r="J14"/>
  <c r="L14"/>
  <c r="N14"/>
  <c r="P14"/>
  <c r="R14"/>
  <c r="T14"/>
  <c r="V14"/>
  <c r="X14"/>
  <c r="Z14"/>
  <c r="D15"/>
  <c r="F15"/>
  <c r="H15"/>
  <c r="J15"/>
  <c r="L15"/>
  <c r="N15"/>
  <c r="P15"/>
  <c r="R15"/>
  <c r="T15"/>
  <c r="V15"/>
  <c r="X15"/>
  <c r="Z15"/>
  <c r="D16"/>
  <c r="F16"/>
  <c r="H16"/>
  <c r="J16"/>
  <c r="L16"/>
  <c r="N16"/>
  <c r="P16"/>
  <c r="R16"/>
  <c r="T16"/>
  <c r="V16"/>
  <c r="X16"/>
  <c r="Z16"/>
  <c r="D17"/>
  <c r="F17"/>
  <c r="H17"/>
  <c r="J17"/>
  <c r="L17"/>
  <c r="N17"/>
  <c r="P17"/>
  <c r="R17"/>
  <c r="T17"/>
  <c r="V17"/>
  <c r="X17"/>
  <c r="Z17"/>
  <c r="D18"/>
  <c r="F18"/>
  <c r="H18"/>
  <c r="J18"/>
  <c r="L18"/>
  <c r="N18"/>
  <c r="P18"/>
  <c r="R18"/>
  <c r="T18"/>
  <c r="V18"/>
  <c r="X18"/>
  <c r="Z18"/>
  <c r="D19"/>
  <c r="F19"/>
  <c r="H19"/>
  <c r="J19"/>
  <c r="L19"/>
  <c r="N19"/>
  <c r="P19"/>
  <c r="R19"/>
  <c r="T19"/>
  <c r="V19"/>
  <c r="X19"/>
  <c r="Z19"/>
  <c r="D20"/>
  <c r="F20"/>
  <c r="H20"/>
  <c r="J20"/>
  <c r="L20"/>
  <c r="N20"/>
  <c r="P20"/>
  <c r="R20"/>
  <c r="T20"/>
  <c r="V20"/>
  <c r="X20"/>
  <c r="Z20"/>
  <c r="D21"/>
  <c r="F21"/>
  <c r="H21"/>
  <c r="J21"/>
  <c r="L21"/>
  <c r="N21"/>
  <c r="P21"/>
  <c r="R21"/>
  <c r="T21"/>
  <c r="V21"/>
  <c r="X21"/>
  <c r="Z21"/>
  <c r="D22"/>
  <c r="F22"/>
  <c r="H22"/>
  <c r="J22"/>
  <c r="L22"/>
  <c r="N22"/>
  <c r="P22"/>
  <c r="R22"/>
  <c r="T22"/>
  <c r="V22"/>
  <c r="X22"/>
  <c r="Z22"/>
  <c r="D23"/>
  <c r="F23"/>
  <c r="H23"/>
  <c r="J23"/>
  <c r="L23"/>
  <c r="N23"/>
  <c r="P23"/>
  <c r="R23"/>
  <c r="T23"/>
  <c r="V23"/>
  <c r="X23"/>
  <c r="Z23"/>
  <c r="D24"/>
  <c r="F24"/>
  <c r="H24"/>
  <c r="J24"/>
  <c r="L24"/>
  <c r="N24"/>
  <c r="P24"/>
  <c r="R24"/>
  <c r="T24"/>
  <c r="V24"/>
  <c r="X24"/>
  <c r="Z24"/>
  <c r="D25"/>
  <c r="F25"/>
  <c r="H25"/>
  <c r="J25"/>
  <c r="L25"/>
  <c r="N25"/>
  <c r="P25"/>
  <c r="R25"/>
  <c r="T25"/>
  <c r="V25"/>
  <c r="X25"/>
  <c r="Z25"/>
  <c r="D26"/>
  <c r="F26"/>
  <c r="H26"/>
  <c r="J26"/>
  <c r="L26"/>
  <c r="N26"/>
  <c r="P26"/>
  <c r="R26"/>
  <c r="T26"/>
  <c r="V26"/>
  <c r="X26"/>
  <c r="Z26"/>
  <c r="D27"/>
  <c r="F27"/>
  <c r="H27"/>
  <c r="J27"/>
  <c r="L27"/>
  <c r="N27"/>
  <c r="P27"/>
  <c r="R27"/>
  <c r="T27"/>
  <c r="V27"/>
  <c r="X27"/>
  <c r="Z27"/>
  <c r="D28"/>
  <c r="F28"/>
  <c r="H28"/>
  <c r="J28"/>
  <c r="Y30"/>
  <c r="W30"/>
  <c r="U30"/>
  <c r="S30"/>
  <c r="Q30"/>
  <c r="O30"/>
  <c r="M30"/>
  <c r="K30"/>
  <c r="I30"/>
  <c r="G30"/>
  <c r="E30"/>
  <c r="C30"/>
  <c r="Y29"/>
  <c r="W29"/>
  <c r="U29"/>
  <c r="S29"/>
  <c r="Q29"/>
  <c r="O29"/>
  <c r="M29"/>
  <c r="K29"/>
  <c r="I29"/>
  <c r="G29"/>
  <c r="E29"/>
  <c r="C29"/>
  <c r="Y28"/>
  <c r="W28"/>
  <c r="U28"/>
  <c r="S28"/>
  <c r="Q28"/>
  <c r="O28"/>
  <c r="M28"/>
  <c r="K28"/>
  <c r="G28"/>
  <c r="C28"/>
  <c r="Z30"/>
  <c r="X30"/>
  <c r="V30"/>
  <c r="T30"/>
  <c r="R30"/>
  <c r="P30"/>
  <c r="N30"/>
  <c r="L30"/>
  <c r="J30"/>
  <c r="H30"/>
  <c r="F30"/>
  <c r="D30"/>
  <c r="Z29"/>
  <c r="X29"/>
  <c r="V29"/>
  <c r="T29"/>
  <c r="R29"/>
  <c r="P29"/>
  <c r="N29"/>
  <c r="L29"/>
  <c r="J29"/>
  <c r="H29"/>
  <c r="F29"/>
  <c r="D29"/>
  <c r="Z28"/>
  <c r="X28"/>
  <c r="V28"/>
  <c r="T28"/>
  <c r="R28"/>
  <c r="P28"/>
  <c r="N28"/>
  <c r="L28"/>
  <c r="I28"/>
  <c r="E28"/>
  <c r="B11" i="7"/>
  <c r="F10"/>
  <c r="J12" s="1"/>
  <c r="E10"/>
  <c r="J19" s="1"/>
  <c r="D10"/>
  <c r="J26" s="1"/>
  <c r="C10"/>
  <c r="J33" s="1"/>
  <c r="T12" i="9" l="1"/>
  <c r="B12" i="7"/>
  <c r="C11"/>
  <c r="X12" i="9"/>
  <c r="AF29" s="1"/>
  <c r="U20"/>
  <c r="AQ36" s="1"/>
  <c r="V20"/>
  <c r="AJ29" s="1"/>
  <c r="Y12"/>
  <c r="AF36" s="1"/>
  <c r="X20"/>
  <c r="AC29" s="1"/>
  <c r="T18"/>
  <c r="AS26" s="1"/>
  <c r="AI13" i="10"/>
  <c r="AA22"/>
  <c r="T13" i="9"/>
  <c r="AT28" s="1"/>
  <c r="X13"/>
  <c r="AF28" s="1"/>
  <c r="AK13" i="10"/>
  <c r="Y13"/>
  <c r="AA24"/>
  <c r="AB13"/>
  <c r="AY13"/>
  <c r="AH23"/>
  <c r="AP13"/>
  <c r="AI23"/>
  <c r="AB14"/>
  <c r="AO14"/>
  <c r="AI21"/>
  <c r="AQ14"/>
  <c r="AY14"/>
  <c r="AP24"/>
  <c r="AA23"/>
  <c r="AH13"/>
  <c r="X13"/>
  <c r="AP21"/>
  <c r="AX14"/>
  <c r="AW14"/>
  <c r="AP22"/>
  <c r="AB23"/>
  <c r="AH14"/>
  <c r="X14"/>
  <c r="AI22"/>
  <c r="AP14"/>
  <c r="AO23"/>
  <c r="AV13"/>
  <c r="AB21"/>
  <c r="AJ14"/>
  <c r="AB22"/>
  <c r="AI14"/>
  <c r="AO22"/>
  <c r="AW13"/>
  <c r="AR14"/>
  <c r="AC14"/>
  <c r="AI24"/>
  <c r="AK14"/>
  <c r="AB24"/>
  <c r="Y14"/>
  <c r="AP23"/>
  <c r="AV14"/>
  <c r="T15" i="9"/>
  <c r="AM13"/>
  <c r="AE27"/>
  <c r="BC19"/>
  <c r="AM36"/>
  <c r="AG19"/>
  <c r="AV19"/>
  <c r="X15"/>
  <c r="AE28" s="1"/>
  <c r="AE26"/>
  <c r="V15"/>
  <c r="AT34"/>
  <c r="BA19"/>
  <c r="BB19"/>
  <c r="AT33"/>
  <c r="BB13"/>
  <c r="AU14"/>
  <c r="AM26"/>
  <c r="AT19"/>
  <c r="AM34"/>
  <c r="AS33"/>
  <c r="BB18"/>
  <c r="AM18"/>
  <c r="AE34"/>
  <c r="AN14"/>
  <c r="AF26"/>
  <c r="BA18"/>
  <c r="AS34"/>
  <c r="AS29"/>
  <c r="BC13"/>
  <c r="AS28"/>
  <c r="AZ13"/>
  <c r="AM14"/>
  <c r="AF27"/>
  <c r="AN18"/>
  <c r="AE33"/>
  <c r="AT13"/>
  <c r="AL27"/>
  <c r="AZ18"/>
  <c r="AS35"/>
  <c r="BC14"/>
  <c r="AT29"/>
  <c r="AN19"/>
  <c r="AF33"/>
  <c r="AT27"/>
  <c r="BA14"/>
  <c r="AU13"/>
  <c r="AL26"/>
  <c r="AM19"/>
  <c r="AF34"/>
  <c r="AT26"/>
  <c r="BB14"/>
  <c r="AT35"/>
  <c r="AZ19"/>
  <c r="AS36"/>
  <c r="BC18"/>
  <c r="AS27"/>
  <c r="BA13"/>
  <c r="AU19"/>
  <c r="AM33"/>
  <c r="AT14"/>
  <c r="AM27"/>
  <c r="AF19"/>
  <c r="AS19"/>
  <c r="AV13"/>
  <c r="AG13"/>
  <c r="AU18"/>
  <c r="AV14"/>
  <c r="AG14"/>
  <c r="AF14"/>
  <c r="AS14"/>
  <c r="AT18"/>
  <c r="AS18"/>
  <c r="AF18"/>
  <c r="AL18"/>
  <c r="AB18"/>
  <c r="AV18"/>
  <c r="AG18"/>
  <c r="AO19"/>
  <c r="AB14"/>
  <c r="AL14"/>
  <c r="AL19"/>
  <c r="AB19"/>
  <c r="AC14"/>
  <c r="AO14"/>
  <c r="AO18"/>
  <c r="AC18"/>
  <c r="AO13"/>
  <c r="AC13"/>
  <c r="F12" i="7"/>
  <c r="L13" s="1"/>
  <c r="D12"/>
  <c r="L27" s="1"/>
  <c r="B13"/>
  <c r="E12"/>
  <c r="L20" s="1"/>
  <c r="C12"/>
  <c r="L34" s="1"/>
  <c r="D11"/>
  <c r="L28" s="1"/>
  <c r="F11"/>
  <c r="L14" s="1"/>
  <c r="L35"/>
  <c r="E11"/>
  <c r="L21" s="1"/>
  <c r="AZ14" i="9" l="1"/>
  <c r="AC19"/>
  <c r="AL13"/>
  <c r="AB13"/>
  <c r="AL28"/>
  <c r="AF13"/>
  <c r="AS13"/>
  <c r="B14" i="7"/>
  <c r="E13"/>
  <c r="K21" s="1"/>
  <c r="C13"/>
  <c r="K35" s="1"/>
  <c r="F13"/>
  <c r="K14" s="1"/>
  <c r="D13"/>
  <c r="K28" s="1"/>
  <c r="F14" l="1"/>
  <c r="K13" s="1"/>
  <c r="D14"/>
  <c r="K27" s="1"/>
  <c r="B15"/>
  <c r="E14"/>
  <c r="K20" s="1"/>
  <c r="C14"/>
  <c r="K34" s="1"/>
  <c r="B16" l="1"/>
  <c r="E15"/>
  <c r="L18" s="1"/>
  <c r="C15"/>
  <c r="L32" s="1"/>
  <c r="F15"/>
  <c r="L11" s="1"/>
  <c r="D15"/>
  <c r="L25" s="1"/>
  <c r="F16" l="1"/>
  <c r="L12" s="1"/>
  <c r="D16"/>
  <c r="L26" s="1"/>
  <c r="B17"/>
  <c r="E16"/>
  <c r="L19" s="1"/>
  <c r="C16"/>
  <c r="L33" s="1"/>
  <c r="B18" l="1"/>
  <c r="E17"/>
  <c r="K18" s="1"/>
  <c r="C17"/>
  <c r="K32" s="1"/>
  <c r="F17"/>
  <c r="K11" s="1"/>
  <c r="D17"/>
  <c r="K25" s="1"/>
  <c r="F18" l="1"/>
  <c r="K12" s="1"/>
  <c r="D18"/>
  <c r="K26" s="1"/>
  <c r="B19"/>
  <c r="E18"/>
  <c r="K19" s="1"/>
  <c r="C18"/>
  <c r="K33" s="1"/>
  <c r="B20" l="1"/>
  <c r="E19"/>
  <c r="I21" s="1"/>
  <c r="C19"/>
  <c r="I35" s="1"/>
  <c r="F19"/>
  <c r="I14" s="1"/>
  <c r="D19"/>
  <c r="I28" s="1"/>
  <c r="F20" l="1"/>
  <c r="I13" s="1"/>
  <c r="D20"/>
  <c r="I27" s="1"/>
  <c r="B21"/>
  <c r="E20"/>
  <c r="I20" s="1"/>
  <c r="C20"/>
  <c r="I34" s="1"/>
  <c r="B22" l="1"/>
  <c r="E21"/>
  <c r="J21" s="1"/>
  <c r="C21"/>
  <c r="J35" s="1"/>
  <c r="F21"/>
  <c r="J14" s="1"/>
  <c r="D21"/>
  <c r="J28" s="1"/>
  <c r="F22" l="1"/>
  <c r="J13" s="1"/>
  <c r="D22"/>
  <c r="J27" s="1"/>
  <c r="B23"/>
  <c r="E22"/>
  <c r="J20" s="1"/>
  <c r="C22"/>
  <c r="J34" s="1"/>
  <c r="B24" l="1"/>
  <c r="E23"/>
  <c r="I18" s="1"/>
  <c r="C23"/>
  <c r="I32" s="1"/>
  <c r="F23"/>
  <c r="I11" s="1"/>
  <c r="D23"/>
  <c r="I25" s="1"/>
  <c r="F24" l="1"/>
  <c r="I12" s="1"/>
  <c r="D24"/>
  <c r="I26" s="1"/>
  <c r="B25"/>
  <c r="E24"/>
  <c r="I19" s="1"/>
  <c r="C24"/>
  <c r="I33" s="1"/>
  <c r="E25" l="1"/>
  <c r="J18" s="1"/>
  <c r="C25"/>
  <c r="J32" s="1"/>
  <c r="F25"/>
  <c r="J11" s="1"/>
  <c r="D25"/>
  <c r="J25" s="1"/>
  <c r="Q26" i="6" l="1"/>
  <c r="AC21" s="1"/>
  <c r="F26"/>
  <c r="E26"/>
  <c r="C26"/>
  <c r="G26" s="1"/>
  <c r="M25"/>
  <c r="F25"/>
  <c r="E25"/>
  <c r="D25"/>
  <c r="C25"/>
  <c r="M24"/>
  <c r="F24"/>
  <c r="E24"/>
  <c r="D24"/>
  <c r="C24"/>
  <c r="M23"/>
  <c r="F23"/>
  <c r="E23"/>
  <c r="D23"/>
  <c r="C23"/>
  <c r="M22"/>
  <c r="F22"/>
  <c r="E22"/>
  <c r="D22"/>
  <c r="C22"/>
  <c r="M21"/>
  <c r="F21"/>
  <c r="E21"/>
  <c r="D21"/>
  <c r="C21"/>
  <c r="M20"/>
  <c r="F20"/>
  <c r="J20" s="1"/>
  <c r="E20"/>
  <c r="D20"/>
  <c r="C20"/>
  <c r="F19"/>
  <c r="E19"/>
  <c r="D19"/>
  <c r="C19"/>
  <c r="M18"/>
  <c r="F18"/>
  <c r="J18" s="1"/>
  <c r="E18"/>
  <c r="D18"/>
  <c r="C18"/>
  <c r="M17"/>
  <c r="F17"/>
  <c r="E17"/>
  <c r="D17"/>
  <c r="H16" s="1"/>
  <c r="C17"/>
  <c r="M16"/>
  <c r="F16"/>
  <c r="E16"/>
  <c r="I15" s="1"/>
  <c r="D16"/>
  <c r="C16"/>
  <c r="M15"/>
  <c r="F15"/>
  <c r="E15"/>
  <c r="D15"/>
  <c r="C15"/>
  <c r="M14"/>
  <c r="F14"/>
  <c r="E14"/>
  <c r="D14"/>
  <c r="C14"/>
  <c r="F13"/>
  <c r="E13"/>
  <c r="I13" s="1"/>
  <c r="D13"/>
  <c r="C13"/>
  <c r="F12"/>
  <c r="E12"/>
  <c r="D12"/>
  <c r="H12" s="1"/>
  <c r="C12"/>
  <c r="F11"/>
  <c r="J11" s="1"/>
  <c r="E11"/>
  <c r="I26" s="1"/>
  <c r="D11"/>
  <c r="H26" s="1"/>
  <c r="D21" i="2"/>
  <c r="D20"/>
  <c r="D11"/>
  <c r="D10"/>
  <c r="D14" s="1"/>
  <c r="D15"/>
  <c r="A28" i="4"/>
  <c r="A29"/>
  <c r="A30"/>
  <c r="A31"/>
  <c r="A55" s="1"/>
  <c r="A32"/>
  <c r="A33"/>
  <c r="A34"/>
  <c r="A35"/>
  <c r="A59" s="1"/>
  <c r="A36"/>
  <c r="A37"/>
  <c r="A38"/>
  <c r="A39"/>
  <c r="A63" s="1"/>
  <c r="A40"/>
  <c r="A41"/>
  <c r="A42"/>
  <c r="A43"/>
  <c r="A67" s="1"/>
  <c r="A44"/>
  <c r="A45"/>
  <c r="A46"/>
  <c r="A47"/>
  <c r="A71" s="1"/>
  <c r="A48"/>
  <c r="A49"/>
  <c r="A50"/>
  <c r="A52"/>
  <c r="A53"/>
  <c r="A54"/>
  <c r="A56"/>
  <c r="A57"/>
  <c r="A58"/>
  <c r="A60"/>
  <c r="A61"/>
  <c r="A62"/>
  <c r="A64"/>
  <c r="A65"/>
  <c r="A66"/>
  <c r="A68"/>
  <c r="A69"/>
  <c r="A70"/>
  <c r="A72"/>
  <c r="A73"/>
  <c r="A74"/>
  <c r="A27"/>
  <c r="A51" s="1"/>
  <c r="G14" i="6"/>
  <c r="I14"/>
  <c r="P12" s="1"/>
  <c r="J21"/>
  <c r="G22"/>
  <c r="H23"/>
  <c r="G24"/>
  <c r="I24"/>
  <c r="O24"/>
  <c r="AB14" s="1"/>
  <c r="J25"/>
  <c r="H13"/>
  <c r="J13"/>
  <c r="H15"/>
  <c r="J15"/>
  <c r="G16"/>
  <c r="I16"/>
  <c r="J17"/>
  <c r="G18"/>
  <c r="I18"/>
  <c r="G20"/>
  <c r="H19" l="1"/>
  <c r="O23" s="1"/>
  <c r="AB13" s="1"/>
  <c r="G15"/>
  <c r="N13" s="1"/>
  <c r="J16"/>
  <c r="H17"/>
  <c r="O19" s="1"/>
  <c r="AB16" s="1"/>
  <c r="G17"/>
  <c r="J12"/>
  <c r="I19"/>
  <c r="N24"/>
  <c r="U14" s="1"/>
  <c r="G23"/>
  <c r="J22"/>
  <c r="J19"/>
  <c r="I20"/>
  <c r="H20"/>
  <c r="H25"/>
  <c r="O25" s="1"/>
  <c r="AC13" s="1"/>
  <c r="H24"/>
  <c r="G25"/>
  <c r="P24"/>
  <c r="U21" s="1"/>
  <c r="P18"/>
  <c r="Q17"/>
  <c r="W30" s="1"/>
  <c r="I25"/>
  <c r="P25" s="1"/>
  <c r="V20" s="1"/>
  <c r="J24"/>
  <c r="Q22"/>
  <c r="AC22" s="1"/>
  <c r="I22"/>
  <c r="J23"/>
  <c r="H22"/>
  <c r="O20" s="1"/>
  <c r="AB15" s="1"/>
  <c r="I23"/>
  <c r="P22"/>
  <c r="V22" s="1"/>
  <c r="V14"/>
  <c r="O26"/>
  <c r="AC14" s="1"/>
  <c r="Q20"/>
  <c r="AB22" s="1"/>
  <c r="G21"/>
  <c r="I21"/>
  <c r="P21" s="1"/>
  <c r="V23" s="1"/>
  <c r="O22"/>
  <c r="AC15" s="1"/>
  <c r="H21"/>
  <c r="N22"/>
  <c r="V15" s="1"/>
  <c r="P26"/>
  <c r="V21" s="1"/>
  <c r="N18"/>
  <c r="W14" s="1"/>
  <c r="G19"/>
  <c r="P23"/>
  <c r="U20" s="1"/>
  <c r="P17"/>
  <c r="H18"/>
  <c r="Q19"/>
  <c r="AB23" s="1"/>
  <c r="I17"/>
  <c r="P19"/>
  <c r="U23" s="1"/>
  <c r="N14"/>
  <c r="W15" s="1"/>
  <c r="O18"/>
  <c r="V35" s="1"/>
  <c r="O21"/>
  <c r="AC16" s="1"/>
  <c r="Q18"/>
  <c r="AD21" s="1"/>
  <c r="Q13"/>
  <c r="J14"/>
  <c r="G13"/>
  <c r="H14"/>
  <c r="O12" s="1"/>
  <c r="P15"/>
  <c r="AD31" s="1"/>
  <c r="G12"/>
  <c r="N12" s="1"/>
  <c r="X15" s="1"/>
  <c r="I12"/>
  <c r="Q15"/>
  <c r="O15"/>
  <c r="AE13" s="1"/>
  <c r="AD20"/>
  <c r="AB31"/>
  <c r="X22"/>
  <c r="H31"/>
  <c r="O17"/>
  <c r="W35" s="1"/>
  <c r="I11"/>
  <c r="P11" s="1"/>
  <c r="Q25"/>
  <c r="AC20" s="1"/>
  <c r="Q11"/>
  <c r="X31" s="1"/>
  <c r="Q16"/>
  <c r="W21"/>
  <c r="AC30"/>
  <c r="N20"/>
  <c r="U15" s="1"/>
  <c r="P16"/>
  <c r="X21" s="1"/>
  <c r="H11"/>
  <c r="O11" s="1"/>
  <c r="J26"/>
  <c r="Q24" s="1"/>
  <c r="AB21" s="1"/>
  <c r="Q14"/>
  <c r="P20"/>
  <c r="U22" s="1"/>
  <c r="Q23"/>
  <c r="AB20" s="1"/>
  <c r="AD14"/>
  <c r="P14"/>
  <c r="G11"/>
  <c r="N16" s="1"/>
  <c r="X14" s="1"/>
  <c r="O14"/>
  <c r="U35" s="1"/>
  <c r="N25"/>
  <c r="V13" s="1"/>
  <c r="O13"/>
  <c r="X35" s="1"/>
  <c r="O16"/>
  <c r="AE14" s="1"/>
  <c r="N23"/>
  <c r="U13" s="1"/>
  <c r="AE23"/>
  <c r="Q12"/>
  <c r="P13"/>
  <c r="AD30"/>
  <c r="W20"/>
  <c r="N19"/>
  <c r="U16" s="1"/>
  <c r="N11"/>
  <c r="X16" s="1"/>
  <c r="N17"/>
  <c r="W13" s="1"/>
  <c r="D12" i="2"/>
  <c r="D13" s="1"/>
  <c r="W16" i="6"/>
  <c r="N15"/>
  <c r="X13" s="1"/>
  <c r="Q21"/>
  <c r="AC23" s="1"/>
  <c r="N21"/>
  <c r="V16" s="1"/>
  <c r="AD22" l="1"/>
  <c r="D30"/>
  <c r="X30"/>
  <c r="E30"/>
  <c r="AD13"/>
  <c r="AC31"/>
  <c r="E31"/>
  <c r="AD16"/>
  <c r="W36"/>
  <c r="V30"/>
  <c r="V36"/>
  <c r="X20"/>
  <c r="AD23"/>
  <c r="U30"/>
  <c r="AE15"/>
  <c r="U36"/>
  <c r="AD15"/>
  <c r="W31"/>
  <c r="AE20"/>
  <c r="AE31"/>
  <c r="I31"/>
  <c r="X23"/>
  <c r="X36"/>
  <c r="AE16"/>
  <c r="AB30"/>
  <c r="W22"/>
  <c r="H30"/>
  <c r="V31"/>
  <c r="AE21"/>
  <c r="D16" i="2"/>
  <c r="D17"/>
  <c r="I30" i="6"/>
  <c r="AE30"/>
  <c r="W23"/>
  <c r="U31"/>
  <c r="AE22"/>
  <c r="D31"/>
</calcChain>
</file>

<file path=xl/comments1.xml><?xml version="1.0" encoding="utf-8"?>
<comments xmlns="http://schemas.openxmlformats.org/spreadsheetml/2006/main">
  <authors>
    <author>nissan</author>
  </authors>
  <commentList>
    <comment ref="D14" authorId="0">
      <text>
        <r>
          <rPr>
            <b/>
            <sz val="9"/>
            <color indexed="81"/>
            <rFont val="ＭＳ Ｐゴシック"/>
            <family val="3"/>
            <charset val="128"/>
          </rPr>
          <t>R1+R2=1とした時のR1の割合</t>
        </r>
      </text>
    </comment>
  </commentList>
</comments>
</file>

<file path=xl/sharedStrings.xml><?xml version="1.0" encoding="utf-8"?>
<sst xmlns="http://schemas.openxmlformats.org/spreadsheetml/2006/main" count="483" uniqueCount="116">
  <si>
    <t>抵抗値</t>
    <rPh sb="0" eb="3">
      <t>テイコウチ</t>
    </rPh>
    <phoneticPr fontId="5"/>
  </si>
  <si>
    <t>可変幅</t>
    <rPh sb="0" eb="2">
      <t>カヘン</t>
    </rPh>
    <rPh sb="2" eb="3">
      <t>ハバ</t>
    </rPh>
    <phoneticPr fontId="5"/>
  </si>
  <si>
    <t>R=</t>
    <phoneticPr fontId="5"/>
  </si>
  <si>
    <t>VR=</t>
    <phoneticPr fontId="5"/>
  </si>
  <si>
    <t>可変範囲</t>
    <rPh sb="0" eb="2">
      <t>カヘン</t>
    </rPh>
    <rPh sb="2" eb="4">
      <t>ハンイ</t>
    </rPh>
    <phoneticPr fontId="5"/>
  </si>
  <si>
    <t>Rの調整設計</t>
    <rPh sb="2" eb="4">
      <t>チョウセイ</t>
    </rPh>
    <rPh sb="4" eb="6">
      <t>セッケイ</t>
    </rPh>
    <phoneticPr fontId="5"/>
  </si>
  <si>
    <t>初期条件</t>
    <rPh sb="0" eb="2">
      <t>ショキ</t>
    </rPh>
    <rPh sb="2" eb="4">
      <t>ジョウケン</t>
    </rPh>
    <phoneticPr fontId="5"/>
  </si>
  <si>
    <t>VR</t>
    <phoneticPr fontId="5"/>
  </si>
  <si>
    <r>
      <t>V</t>
    </r>
    <r>
      <rPr>
        <vertAlign val="subscript"/>
        <sz val="11"/>
        <color indexed="8"/>
        <rFont val="ＭＳ Ｐゴシック"/>
        <family val="3"/>
        <charset val="128"/>
      </rPr>
      <t>CC</t>
    </r>
    <phoneticPr fontId="5"/>
  </si>
  <si>
    <r>
      <t>V</t>
    </r>
    <r>
      <rPr>
        <vertAlign val="subscript"/>
        <sz val="11"/>
        <color indexed="8"/>
        <rFont val="ＭＳ Ｐゴシック"/>
        <family val="3"/>
        <charset val="128"/>
      </rPr>
      <t>EE</t>
    </r>
    <phoneticPr fontId="5"/>
  </si>
  <si>
    <t>出力誤差</t>
    <rPh sb="0" eb="2">
      <t>シュツリョク</t>
    </rPh>
    <rPh sb="2" eb="4">
      <t>ゴサ</t>
    </rPh>
    <phoneticPr fontId="5"/>
  </si>
  <si>
    <r>
      <t>V</t>
    </r>
    <r>
      <rPr>
        <vertAlign val="subscript"/>
        <sz val="11"/>
        <color indexed="8"/>
        <rFont val="ＭＳ Ｐゴシック"/>
        <family val="3"/>
        <charset val="128"/>
      </rPr>
      <t>max</t>
    </r>
    <phoneticPr fontId="5"/>
  </si>
  <si>
    <r>
      <t>V</t>
    </r>
    <r>
      <rPr>
        <vertAlign val="subscript"/>
        <sz val="11"/>
        <color indexed="8"/>
        <rFont val="ＭＳ Ｐゴシック"/>
        <family val="3"/>
        <charset val="128"/>
      </rPr>
      <t>min</t>
    </r>
    <phoneticPr fontId="5"/>
  </si>
  <si>
    <t>計算用
データ</t>
    <rPh sb="0" eb="3">
      <t>ケイサンヨウ</t>
    </rPh>
    <phoneticPr fontId="5"/>
  </si>
  <si>
    <t>可変割合</t>
    <rPh sb="0" eb="2">
      <t>カヘン</t>
    </rPh>
    <rPh sb="2" eb="4">
      <t>ワリアイ</t>
    </rPh>
    <phoneticPr fontId="5"/>
  </si>
  <si>
    <t>R1+R2</t>
    <phoneticPr fontId="5"/>
  </si>
  <si>
    <t>R1</t>
    <phoneticPr fontId="5"/>
  </si>
  <si>
    <t>R2</t>
    <phoneticPr fontId="5"/>
  </si>
  <si>
    <t>計算値</t>
    <rPh sb="0" eb="3">
      <t>ケイサンチ</t>
    </rPh>
    <phoneticPr fontId="5"/>
  </si>
  <si>
    <t>E24系列</t>
    <rPh sb="3" eb="5">
      <t>ケイレツ</t>
    </rPh>
    <phoneticPr fontId="5"/>
  </si>
  <si>
    <t>下方修正！</t>
    <rPh sb="0" eb="2">
      <t>カホウ</t>
    </rPh>
    <rPh sb="2" eb="4">
      <t>シュウセイ</t>
    </rPh>
    <phoneticPr fontId="5"/>
  </si>
  <si>
    <t>検算</t>
    <rPh sb="0" eb="2">
      <t>ケンザン</t>
    </rPh>
    <phoneticPr fontId="5"/>
  </si>
  <si>
    <t>VR基準電圧調整</t>
    <phoneticPr fontId="5"/>
  </si>
  <si>
    <t>真理値表</t>
    <rPh sb="0" eb="4">
      <t>シンリチヒョウ</t>
    </rPh>
    <phoneticPr fontId="5"/>
  </si>
  <si>
    <t>カウント</t>
    <phoneticPr fontId="5"/>
  </si>
  <si>
    <t>Q3</t>
    <phoneticPr fontId="5"/>
  </si>
  <si>
    <t>Q2</t>
    <phoneticPr fontId="5"/>
  </si>
  <si>
    <t>Q1</t>
    <phoneticPr fontId="5"/>
  </si>
  <si>
    <t>Q0</t>
    <phoneticPr fontId="5"/>
  </si>
  <si>
    <t>JK3</t>
    <phoneticPr fontId="5"/>
  </si>
  <si>
    <t>JK2</t>
    <phoneticPr fontId="5"/>
  </si>
  <si>
    <t>JK1</t>
    <phoneticPr fontId="5"/>
  </si>
  <si>
    <t>JK0</t>
    <phoneticPr fontId="5"/>
  </si>
  <si>
    <t>JK F/F（反転動作，T F/F）用</t>
    <rPh sb="7" eb="9">
      <t>ハンテン</t>
    </rPh>
    <rPh sb="9" eb="11">
      <t>ドウサ</t>
    </rPh>
    <rPh sb="18" eb="19">
      <t>ヨウ</t>
    </rPh>
    <phoneticPr fontId="5"/>
  </si>
  <si>
    <r>
      <t>同期N進カウンタ進理値表生成シート(</t>
    </r>
    <r>
      <rPr>
        <b/>
        <sz val="11"/>
        <color indexed="8"/>
        <rFont val="ＭＳ Ｐゴシック"/>
        <family val="3"/>
        <charset val="128"/>
      </rPr>
      <t>0スタート</t>
    </r>
    <r>
      <rPr>
        <sz val="11"/>
        <color theme="1"/>
        <rFont val="ＭＳ Ｐゴシック"/>
        <family val="3"/>
        <charset val="128"/>
        <scheme val="minor"/>
      </rPr>
      <t>)</t>
    </r>
    <rPh sb="0" eb="2">
      <t>ドウキ</t>
    </rPh>
    <rPh sb="3" eb="4">
      <t>シン</t>
    </rPh>
    <rPh sb="8" eb="9">
      <t>シン</t>
    </rPh>
    <rPh sb="9" eb="10">
      <t>オサム</t>
    </rPh>
    <rPh sb="10" eb="11">
      <t>チ</t>
    </rPh>
    <rPh sb="11" eb="12">
      <t>ヒョウ</t>
    </rPh>
    <rPh sb="12" eb="14">
      <t>セイセイ</t>
    </rPh>
    <phoneticPr fontId="5"/>
  </si>
  <si>
    <t>同期N進アップカウンタ進理値表生成シート</t>
    <rPh sb="0" eb="2">
      <t>ドウキ</t>
    </rPh>
    <rPh sb="3" eb="4">
      <t>シン</t>
    </rPh>
    <rPh sb="11" eb="12">
      <t>シン</t>
    </rPh>
    <rPh sb="12" eb="13">
      <t>オサム</t>
    </rPh>
    <rPh sb="13" eb="14">
      <t>チ</t>
    </rPh>
    <rPh sb="14" eb="15">
      <t>ヒョウ</t>
    </rPh>
    <rPh sb="15" eb="17">
      <t>セイセイ</t>
    </rPh>
    <phoneticPr fontId="21"/>
  </si>
  <si>
    <t>D F/F用</t>
    <rPh sb="5" eb="6">
      <t>ヨウ</t>
    </rPh>
    <phoneticPr fontId="21"/>
  </si>
  <si>
    <t>進数</t>
    <rPh sb="0" eb="2">
      <t>シンスウ</t>
    </rPh>
    <phoneticPr fontId="21"/>
  </si>
  <si>
    <t>真理値表</t>
    <rPh sb="0" eb="4">
      <t>シンリチヒョウ</t>
    </rPh>
    <phoneticPr fontId="21"/>
  </si>
  <si>
    <t>カウント</t>
    <phoneticPr fontId="21"/>
  </si>
  <si>
    <t>Q3</t>
    <phoneticPr fontId="21"/>
  </si>
  <si>
    <t>Q2</t>
    <phoneticPr fontId="21"/>
  </si>
  <si>
    <t>Q0</t>
    <phoneticPr fontId="21"/>
  </si>
  <si>
    <t>Q1</t>
    <phoneticPr fontId="21"/>
  </si>
  <si>
    <t>目標値</t>
    <rPh sb="0" eb="2">
      <t>モクヒョウ</t>
    </rPh>
    <rPh sb="2" eb="3">
      <t>チ</t>
    </rPh>
    <phoneticPr fontId="21"/>
  </si>
  <si>
    <t>k</t>
  </si>
  <si>
    <t>誤差</t>
    <rPh sb="0" eb="2">
      <t>ゴサ</t>
    </rPh>
    <phoneticPr fontId="21"/>
  </si>
  <si>
    <t>u</t>
  </si>
  <si>
    <t>J3</t>
    <phoneticPr fontId="20"/>
  </si>
  <si>
    <t>K3</t>
    <phoneticPr fontId="20"/>
  </si>
  <si>
    <t>Q4</t>
    <phoneticPr fontId="5"/>
  </si>
  <si>
    <t>Q3</t>
    <phoneticPr fontId="5"/>
  </si>
  <si>
    <t>Q1</t>
    <phoneticPr fontId="5"/>
  </si>
  <si>
    <t>J4</t>
    <phoneticPr fontId="20"/>
  </si>
  <si>
    <t>K4</t>
    <phoneticPr fontId="20"/>
  </si>
  <si>
    <t>J2</t>
    <phoneticPr fontId="20"/>
  </si>
  <si>
    <t>K2</t>
    <phoneticPr fontId="20"/>
  </si>
  <si>
    <t>J1</t>
    <phoneticPr fontId="20"/>
  </si>
  <si>
    <t>K1</t>
    <phoneticPr fontId="20"/>
  </si>
  <si>
    <t>J1</t>
    <phoneticPr fontId="5"/>
  </si>
  <si>
    <t>J2</t>
    <phoneticPr fontId="5"/>
  </si>
  <si>
    <t>K1</t>
    <phoneticPr fontId="5"/>
  </si>
  <si>
    <t>K2</t>
    <phoneticPr fontId="5"/>
  </si>
  <si>
    <t>J3</t>
    <phoneticPr fontId="5"/>
  </si>
  <si>
    <t>K3</t>
    <phoneticPr fontId="5"/>
  </si>
  <si>
    <t>JK F/F用</t>
    <rPh sb="6" eb="7">
      <t>ヨウ</t>
    </rPh>
    <phoneticPr fontId="5"/>
  </si>
  <si>
    <t>K4</t>
    <phoneticPr fontId="5"/>
  </si>
  <si>
    <t>J4</t>
    <phoneticPr fontId="5"/>
  </si>
  <si>
    <t>D F/F用</t>
    <rPh sb="5" eb="6">
      <t>ヨウ</t>
    </rPh>
    <phoneticPr fontId="5"/>
  </si>
  <si>
    <t>D4</t>
    <phoneticPr fontId="20"/>
  </si>
  <si>
    <t>D3</t>
    <phoneticPr fontId="20"/>
  </si>
  <si>
    <t>D2</t>
    <phoneticPr fontId="20"/>
  </si>
  <si>
    <t>D1</t>
    <phoneticPr fontId="20"/>
  </si>
  <si>
    <t>同期カウンタ真理値表生成シート</t>
    <rPh sb="0" eb="2">
      <t>ドウキ</t>
    </rPh>
    <rPh sb="6" eb="7">
      <t>シン</t>
    </rPh>
    <rPh sb="7" eb="8">
      <t>オサム</t>
    </rPh>
    <rPh sb="8" eb="9">
      <t>チ</t>
    </rPh>
    <rPh sb="9" eb="10">
      <t>ヒョウ</t>
    </rPh>
    <rPh sb="10" eb="12">
      <t>セイセイ</t>
    </rPh>
    <phoneticPr fontId="5"/>
  </si>
  <si>
    <t>D1</t>
    <phoneticPr fontId="5"/>
  </si>
  <si>
    <t>D2</t>
    <phoneticPr fontId="5"/>
  </si>
  <si>
    <t>D3</t>
    <phoneticPr fontId="5"/>
  </si>
  <si>
    <t>D4</t>
    <phoneticPr fontId="5"/>
  </si>
  <si>
    <t>62***(ドライバ)</t>
    <phoneticPr fontId="21"/>
  </si>
  <si>
    <t>電流シンクorソース</t>
    <rPh sb="0" eb="2">
      <t>デンリュウ</t>
    </rPh>
    <phoneticPr fontId="21"/>
  </si>
  <si>
    <t>出力オープンコレクタorプッシュプル</t>
    <rPh sb="0" eb="2">
      <t>シュツリョク</t>
    </rPh>
    <phoneticPr fontId="21"/>
  </si>
  <si>
    <t>電源電圧範囲</t>
    <rPh sb="0" eb="2">
      <t>デンゲン</t>
    </rPh>
    <rPh sb="2" eb="3">
      <t>デン</t>
    </rPh>
    <rPh sb="3" eb="4">
      <t>アツ</t>
    </rPh>
    <rPh sb="4" eb="6">
      <t>ハンイ</t>
    </rPh>
    <phoneticPr fontId="21"/>
  </si>
  <si>
    <t>空き端子処理</t>
    <rPh sb="0" eb="1">
      <t>ア</t>
    </rPh>
    <rPh sb="2" eb="4">
      <t>タンシ</t>
    </rPh>
    <rPh sb="4" eb="6">
      <t>ショリ</t>
    </rPh>
    <phoneticPr fontId="21"/>
  </si>
  <si>
    <t>ワンショット(4538B,123,221etc)</t>
    <phoneticPr fontId="21"/>
  </si>
  <si>
    <t>コンデンサ容量によってパルス幅を求める式が変動する</t>
    <rPh sb="5" eb="7">
      <t>ヨウリョウ</t>
    </rPh>
    <rPh sb="14" eb="15">
      <t>ハバ</t>
    </rPh>
    <rPh sb="16" eb="17">
      <t>モト</t>
    </rPh>
    <rPh sb="19" eb="20">
      <t>シキ</t>
    </rPh>
    <rPh sb="21" eb="23">
      <t>ヘンドウ</t>
    </rPh>
    <phoneticPr fontId="21"/>
  </si>
  <si>
    <t>抵抗値に制限がある</t>
    <rPh sb="0" eb="3">
      <t>テイコウチ</t>
    </rPh>
    <rPh sb="4" eb="6">
      <t>セイゲン</t>
    </rPh>
    <phoneticPr fontId="21"/>
  </si>
  <si>
    <t>→小さすぎると内部に電流が多く流れる</t>
    <rPh sb="1" eb="2">
      <t>チイ</t>
    </rPh>
    <rPh sb="7" eb="9">
      <t>ナイブ</t>
    </rPh>
    <rPh sb="10" eb="12">
      <t>デンリュウ</t>
    </rPh>
    <rPh sb="13" eb="14">
      <t>オオ</t>
    </rPh>
    <rPh sb="15" eb="16">
      <t>ナガ</t>
    </rPh>
    <phoneticPr fontId="21"/>
  </si>
  <si>
    <t>OPアンプ三角波、方形波</t>
    <rPh sb="5" eb="7">
      <t>サンカク</t>
    </rPh>
    <rPh sb="7" eb="8">
      <t>ハ</t>
    </rPh>
    <rPh sb="9" eb="11">
      <t>ホウケイ</t>
    </rPh>
    <rPh sb="11" eb="12">
      <t>ハ</t>
    </rPh>
    <phoneticPr fontId="21"/>
  </si>
  <si>
    <t>高スルーレートのものを使用する</t>
    <rPh sb="0" eb="1">
      <t>コウ</t>
    </rPh>
    <rPh sb="11" eb="13">
      <t>シヨウ</t>
    </rPh>
    <phoneticPr fontId="21"/>
  </si>
  <si>
    <t>あまり高すぎるとリンギングが起きる</t>
    <rPh sb="3" eb="4">
      <t>タカ</t>
    </rPh>
    <rPh sb="14" eb="15">
      <t>オ</t>
    </rPh>
    <phoneticPr fontId="21"/>
  </si>
  <si>
    <t>1～10V程度が目安</t>
    <rPh sb="5" eb="7">
      <t>テイド</t>
    </rPh>
    <rPh sb="8" eb="10">
      <t>メヤス</t>
    </rPh>
    <phoneticPr fontId="21"/>
  </si>
  <si>
    <t>周波数帯域は出力の10～100倍</t>
    <rPh sb="0" eb="3">
      <t>シュウハスウ</t>
    </rPh>
    <rPh sb="3" eb="5">
      <t>タイイキ</t>
    </rPh>
    <rPh sb="6" eb="8">
      <t>シュツリョク</t>
    </rPh>
    <rPh sb="15" eb="16">
      <t>バイ</t>
    </rPh>
    <phoneticPr fontId="21"/>
  </si>
  <si>
    <t>出力段がコレクタ接地になっておりVohが4V弱しかない</t>
    <rPh sb="0" eb="2">
      <t>シュツリョク</t>
    </rPh>
    <rPh sb="2" eb="3">
      <t>ダン</t>
    </rPh>
    <rPh sb="8" eb="10">
      <t>セッチ</t>
    </rPh>
    <rPh sb="22" eb="23">
      <t>ジャク</t>
    </rPh>
    <phoneticPr fontId="21"/>
  </si>
  <si>
    <t>→プルアップ抵抗で引上げる</t>
    <rPh sb="6" eb="8">
      <t>テイコウ</t>
    </rPh>
    <rPh sb="9" eb="11">
      <t>ヒキア</t>
    </rPh>
    <phoneticPr fontId="21"/>
  </si>
  <si>
    <t>フォトカプラ</t>
    <phoneticPr fontId="21"/>
  </si>
  <si>
    <t>伝達効率低い</t>
    <rPh sb="0" eb="2">
      <t>デンタツ</t>
    </rPh>
    <rPh sb="2" eb="4">
      <t>コウリツ</t>
    </rPh>
    <rPh sb="4" eb="5">
      <t>ヒク</t>
    </rPh>
    <phoneticPr fontId="21"/>
  </si>
  <si>
    <t>劣化が激しい</t>
    <rPh sb="0" eb="2">
      <t>レッカ</t>
    </rPh>
    <rPh sb="3" eb="4">
      <t>ハゲ</t>
    </rPh>
    <phoneticPr fontId="21"/>
  </si>
  <si>
    <t>ラッチ</t>
    <phoneticPr fontId="21"/>
  </si>
  <si>
    <t>多段接続したときにレーシングが発生する</t>
    <rPh sb="0" eb="2">
      <t>タダン</t>
    </rPh>
    <rPh sb="2" eb="4">
      <t>セツゾク</t>
    </rPh>
    <rPh sb="15" eb="17">
      <t>ハッセイ</t>
    </rPh>
    <phoneticPr fontId="21"/>
  </si>
  <si>
    <t>DTL</t>
    <phoneticPr fontId="21"/>
  </si>
  <si>
    <t>サーミスタ</t>
    <phoneticPr fontId="21"/>
  </si>
  <si>
    <t>TL431</t>
    <phoneticPr fontId="21"/>
  </si>
  <si>
    <t>小規模課題注意ポイント</t>
    <rPh sb="0" eb="3">
      <t>ショウキボ</t>
    </rPh>
    <rPh sb="3" eb="5">
      <t>カダイ</t>
    </rPh>
    <rPh sb="5" eb="7">
      <t>チュウイ</t>
    </rPh>
    <phoneticPr fontId="20"/>
  </si>
  <si>
    <t>設計で以下の回路、素子を使用する場合チェックすること！</t>
    <rPh sb="0" eb="2">
      <t>セッケイ</t>
    </rPh>
    <rPh sb="3" eb="5">
      <t>イカ</t>
    </rPh>
    <rPh sb="6" eb="8">
      <t>カイロ</t>
    </rPh>
    <rPh sb="9" eb="11">
      <t>ソシ</t>
    </rPh>
    <rPh sb="12" eb="14">
      <t>シヨウ</t>
    </rPh>
    <rPh sb="16" eb="18">
      <t>バアイ</t>
    </rPh>
    <phoneticPr fontId="20"/>
  </si>
  <si>
    <t>4538と123の違い</t>
    <rPh sb="9" eb="10">
      <t>チガ</t>
    </rPh>
    <phoneticPr fontId="21"/>
  </si>
  <si>
    <t>→入力論理、123はシュミット入力（より好ましい）</t>
    <phoneticPr fontId="20"/>
  </si>
  <si>
    <t>→大きすぎるとノイズ、漏れ電流で誤差になる</t>
    <rPh sb="1" eb="2">
      <t>オオ</t>
    </rPh>
    <rPh sb="11" eb="12">
      <t>モ</t>
    </rPh>
    <rPh sb="13" eb="15">
      <t>デンリュウ</t>
    </rPh>
    <rPh sb="16" eb="18">
      <t>ゴサ</t>
    </rPh>
    <phoneticPr fontId="21"/>
  </si>
  <si>
    <t>（1MΩ1μAで1V）</t>
    <phoneticPr fontId="20"/>
  </si>
  <si>
    <t>TRが不用意にオンしないようにベースに</t>
    <rPh sb="3" eb="6">
      <t>フヨウイ</t>
    </rPh>
    <phoneticPr fontId="21"/>
  </si>
  <si>
    <t>レベルシフトダイオードを入れる</t>
    <phoneticPr fontId="20"/>
  </si>
  <si>
    <t>消費電力を10mW以下に抑えないと自己発熱で</t>
    <rPh sb="0" eb="2">
      <t>ショウヒ</t>
    </rPh>
    <rPh sb="2" eb="4">
      <t>デンリョク</t>
    </rPh>
    <rPh sb="9" eb="11">
      <t>イカ</t>
    </rPh>
    <rPh sb="12" eb="13">
      <t>オサ</t>
    </rPh>
    <rPh sb="17" eb="19">
      <t>ジコ</t>
    </rPh>
    <rPh sb="19" eb="21">
      <t>ハツネツ</t>
    </rPh>
    <phoneticPr fontId="21"/>
  </si>
  <si>
    <t>抵抗値が変わる（データシート参照）</t>
  </si>
  <si>
    <t>安易に0.1uFのパスコンをつけると発振、データシートで</t>
    <rPh sb="0" eb="2">
      <t>アンイ</t>
    </rPh>
    <rPh sb="18" eb="20">
      <t>ハッシン</t>
    </rPh>
    <phoneticPr fontId="21"/>
  </si>
  <si>
    <t>適正容量を確認すること</t>
  </si>
  <si>
    <t>□N</t>
    <phoneticPr fontId="20"/>
  </si>
  <si>
    <t>555</t>
    <phoneticPr fontId="20"/>
  </si>
</sst>
</file>

<file path=xl/styles.xml><?xml version="1.0" encoding="utf-8"?>
<styleSheet xmlns="http://schemas.openxmlformats.org/spreadsheetml/2006/main">
  <numFmts count="2">
    <numFmt numFmtId="176" formatCode="0.00_ "/>
    <numFmt numFmtId="177" formatCode="&quot;E&quot;General"/>
  </numFmts>
  <fonts count="28"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9"/>
      <name val="MS UI Gothic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vertAlign val="subscript"/>
      <sz val="11"/>
      <color indexed="8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b/>
      <i/>
      <sz val="11"/>
      <color theme="3"/>
      <name val="ＭＳ Ｐゴシック"/>
      <family val="3"/>
      <charset val="128"/>
      <scheme val="minor"/>
    </font>
    <font>
      <b/>
      <i/>
      <sz val="11"/>
      <color theme="1"/>
      <name val="ＭＳ Ｐゴシック"/>
      <family val="3"/>
      <charset val="128"/>
      <scheme val="minor"/>
    </font>
    <font>
      <strike/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trike/>
      <sz val="11"/>
      <color theme="1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u/>
      <sz val="11"/>
      <color theme="1"/>
      <name val="ＭＳ Ｐゴシック"/>
      <family val="2"/>
      <charset val="128"/>
      <scheme val="minor"/>
    </font>
    <font>
      <u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50">
    <border>
      <left/>
      <right/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medium">
        <color indexed="64"/>
      </right>
      <top/>
      <bottom/>
      <diagonal/>
    </border>
    <border>
      <left/>
      <right/>
      <top/>
      <bottom style="medium">
        <color rgb="FFFF0000"/>
      </bottom>
      <diagonal/>
    </border>
  </borders>
  <cellStyleXfs count="5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12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7" fillId="0" borderId="0" xfId="0" applyNumberFormat="1" applyFont="1" applyBorder="1">
      <alignment vertical="center"/>
    </xf>
    <xf numFmtId="0" fontId="0" fillId="0" borderId="0" xfId="0" applyBorder="1">
      <alignment vertical="center"/>
    </xf>
    <xf numFmtId="0" fontId="14" fillId="0" borderId="0" xfId="0" applyFont="1">
      <alignment vertical="center"/>
    </xf>
    <xf numFmtId="0" fontId="0" fillId="0" borderId="0" xfId="0" applyFill="1">
      <alignment vertical="center"/>
    </xf>
    <xf numFmtId="0" fontId="0" fillId="0" borderId="1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3" xfId="0" applyFill="1" applyBorder="1" applyAlignment="1"/>
    <xf numFmtId="0" fontId="0" fillId="0" borderId="4" xfId="0" applyFill="1" applyBorder="1">
      <alignment vertical="center"/>
    </xf>
    <xf numFmtId="9" fontId="13" fillId="0" borderId="4" xfId="1" applyFont="1" applyFill="1" applyBorder="1">
      <alignment vertical="center"/>
    </xf>
    <xf numFmtId="0" fontId="0" fillId="0" borderId="5" xfId="0" applyFill="1" applyBorder="1">
      <alignment vertical="center"/>
    </xf>
    <xf numFmtId="0" fontId="0" fillId="0" borderId="6" xfId="0" applyFill="1" applyBorder="1" applyAlignment="1"/>
    <xf numFmtId="0" fontId="0" fillId="0" borderId="7" xfId="0" applyFill="1" applyBorder="1" applyAlignment="1"/>
    <xf numFmtId="0" fontId="0" fillId="0" borderId="8" xfId="0" applyFill="1" applyBorder="1">
      <alignment vertical="center"/>
    </xf>
    <xf numFmtId="0" fontId="0" fillId="0" borderId="3" xfId="0" applyFill="1" applyBorder="1">
      <alignment vertical="center"/>
    </xf>
    <xf numFmtId="0" fontId="15" fillId="0" borderId="0" xfId="0" applyFont="1" applyFill="1">
      <alignment vertical="center"/>
    </xf>
    <xf numFmtId="0" fontId="0" fillId="0" borderId="6" xfId="0" applyFill="1" applyBorder="1">
      <alignment vertical="center"/>
    </xf>
    <xf numFmtId="0" fontId="0" fillId="0" borderId="9" xfId="0" applyFill="1" applyBorder="1">
      <alignment vertical="center"/>
    </xf>
    <xf numFmtId="0" fontId="0" fillId="0" borderId="10" xfId="0" applyFill="1" applyBorder="1">
      <alignment vertical="center"/>
    </xf>
    <xf numFmtId="0" fontId="16" fillId="0" borderId="0" xfId="0" applyFont="1" applyFill="1">
      <alignment vertical="center"/>
    </xf>
    <xf numFmtId="176" fontId="0" fillId="0" borderId="4" xfId="0" applyNumberFormat="1" applyFill="1" applyBorder="1">
      <alignment vertical="center"/>
    </xf>
    <xf numFmtId="176" fontId="0" fillId="0" borderId="9" xfId="0" applyNumberFormat="1" applyFill="1" applyBorder="1">
      <alignment vertical="center"/>
    </xf>
    <xf numFmtId="0" fontId="0" fillId="0" borderId="11" xfId="0" applyFill="1" applyBorder="1">
      <alignment vertical="center"/>
    </xf>
    <xf numFmtId="0" fontId="14" fillId="0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vertical="center" shrinkToFit="1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7" fillId="0" borderId="4" xfId="0" applyFont="1" applyBorder="1">
      <alignment vertical="center"/>
    </xf>
    <xf numFmtId="0" fontId="0" fillId="0" borderId="17" xfId="0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0" fillId="0" borderId="0" xfId="0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9" xfId="0" applyBorder="1">
      <alignment vertical="center"/>
    </xf>
    <xf numFmtId="0" fontId="0" fillId="0" borderId="2" xfId="0" applyBorder="1">
      <alignment vertical="center"/>
    </xf>
    <xf numFmtId="0" fontId="0" fillId="0" borderId="21" xfId="0" applyBorder="1">
      <alignment vertical="center"/>
    </xf>
    <xf numFmtId="0" fontId="0" fillId="0" borderId="20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17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16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4" fillId="0" borderId="0" xfId="2" applyFill="1" applyAlignment="1">
      <alignment horizontal="center" vertical="center"/>
    </xf>
    <xf numFmtId="0" fontId="14" fillId="0" borderId="0" xfId="2" applyFont="1" applyBorder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0" xfId="2" applyFill="1" applyBorder="1" applyAlignment="1">
      <alignment horizontal="center" vertical="center"/>
    </xf>
    <xf numFmtId="9" fontId="14" fillId="0" borderId="0" xfId="3" applyFont="1" applyBorder="1" applyAlignment="1">
      <alignment horizontal="center" vertical="center"/>
    </xf>
    <xf numFmtId="177" fontId="14" fillId="0" borderId="0" xfId="2" applyNumberFormat="1" applyFont="1" applyBorder="1" applyAlignment="1">
      <alignment horizontal="center" vertical="center"/>
    </xf>
    <xf numFmtId="0" fontId="23" fillId="0" borderId="0" xfId="2" applyFont="1" applyBorder="1" applyAlignment="1">
      <alignment horizontal="center" vertical="center"/>
    </xf>
    <xf numFmtId="0" fontId="4" fillId="0" borderId="0" xfId="2" applyBorder="1" applyAlignment="1">
      <alignment horizontal="center" vertical="center"/>
    </xf>
    <xf numFmtId="0" fontId="4" fillId="0" borderId="32" xfId="2" applyBorder="1" applyAlignment="1">
      <alignment horizontal="center" vertical="center"/>
    </xf>
    <xf numFmtId="0" fontId="4" fillId="0" borderId="33" xfId="2" applyBorder="1" applyAlignment="1">
      <alignment horizontal="center" vertical="center"/>
    </xf>
    <xf numFmtId="0" fontId="4" fillId="0" borderId="34" xfId="2" applyBorder="1" applyAlignment="1">
      <alignment horizontal="center" vertical="center"/>
    </xf>
    <xf numFmtId="0" fontId="4" fillId="0" borderId="35" xfId="2" applyBorder="1" applyAlignment="1">
      <alignment horizontal="center" vertical="center"/>
    </xf>
    <xf numFmtId="0" fontId="3" fillId="0" borderId="0" xfId="2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4" fillId="0" borderId="36" xfId="2" applyBorder="1" applyAlignment="1">
      <alignment horizontal="center" vertical="center"/>
    </xf>
    <xf numFmtId="0" fontId="4" fillId="0" borderId="37" xfId="2" applyBorder="1" applyAlignment="1">
      <alignment horizontal="center" vertical="center"/>
    </xf>
    <xf numFmtId="0" fontId="4" fillId="0" borderId="38" xfId="2" applyBorder="1" applyAlignment="1">
      <alignment horizontal="center" vertical="center"/>
    </xf>
    <xf numFmtId="0" fontId="4" fillId="0" borderId="39" xfId="2" applyBorder="1" applyAlignment="1">
      <alignment horizontal="center" vertical="center"/>
    </xf>
    <xf numFmtId="0" fontId="4" fillId="0" borderId="40" xfId="2" applyBorder="1" applyAlignment="1">
      <alignment horizontal="center" vertical="center"/>
    </xf>
    <xf numFmtId="0" fontId="4" fillId="0" borderId="41" xfId="2" applyBorder="1" applyAlignment="1">
      <alignment horizontal="center" vertical="center"/>
    </xf>
    <xf numFmtId="0" fontId="4" fillId="0" borderId="42" xfId="2" applyBorder="1" applyAlignment="1">
      <alignment horizontal="center" vertical="center"/>
    </xf>
    <xf numFmtId="0" fontId="4" fillId="0" borderId="43" xfId="2" applyBorder="1" applyAlignment="1">
      <alignment horizontal="center" vertical="center"/>
    </xf>
    <xf numFmtId="0" fontId="4" fillId="0" borderId="44" xfId="2" applyBorder="1" applyAlignment="1">
      <alignment horizontal="center" vertical="center"/>
    </xf>
    <xf numFmtId="0" fontId="4" fillId="0" borderId="45" xfId="2" applyBorder="1" applyAlignment="1">
      <alignment horizontal="center" vertical="center"/>
    </xf>
    <xf numFmtId="0" fontId="4" fillId="0" borderId="46" xfId="2" applyBorder="1" applyAlignment="1">
      <alignment horizontal="center" vertical="center"/>
    </xf>
    <xf numFmtId="0" fontId="4" fillId="0" borderId="47" xfId="2" applyBorder="1" applyAlignment="1">
      <alignment horizontal="center" vertical="center"/>
    </xf>
    <xf numFmtId="0" fontId="4" fillId="0" borderId="48" xfId="2" applyBorder="1" applyAlignment="1">
      <alignment horizontal="center" vertical="center"/>
    </xf>
    <xf numFmtId="9" fontId="14" fillId="3" borderId="0" xfId="3" applyFont="1" applyFill="1" applyBorder="1" applyAlignment="1">
      <alignment horizontal="center" vertical="center"/>
    </xf>
    <xf numFmtId="9" fontId="14" fillId="2" borderId="0" xfId="3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4">
      <alignment vertical="center"/>
    </xf>
    <xf numFmtId="0" fontId="1" fillId="0" borderId="0" xfId="4" applyFont="1">
      <alignment vertical="center"/>
    </xf>
    <xf numFmtId="0" fontId="24" fillId="0" borderId="0" xfId="4" applyFont="1">
      <alignment vertical="center"/>
    </xf>
    <xf numFmtId="0" fontId="14" fillId="0" borderId="0" xfId="4" applyFont="1">
      <alignment vertical="center"/>
    </xf>
    <xf numFmtId="0" fontId="2" fillId="0" borderId="49" xfId="4" applyBorder="1">
      <alignment vertical="center"/>
    </xf>
    <xf numFmtId="0" fontId="25" fillId="0" borderId="49" xfId="4" applyFont="1" applyBorder="1">
      <alignment vertical="center"/>
    </xf>
    <xf numFmtId="0" fontId="1" fillId="0" borderId="49" xfId="4" applyFont="1" applyBorder="1" applyAlignment="1">
      <alignment horizontal="right" vertical="center"/>
    </xf>
    <xf numFmtId="0" fontId="26" fillId="0" borderId="0" xfId="4" applyFont="1">
      <alignment vertical="center"/>
    </xf>
    <xf numFmtId="0" fontId="27" fillId="0" borderId="0" xfId="4" quotePrefix="1" applyFont="1">
      <alignment vertical="center"/>
    </xf>
    <xf numFmtId="0" fontId="0" fillId="0" borderId="0" xfId="0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0" fontId="0" fillId="0" borderId="14" xfId="0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</cellXfs>
  <cellStyles count="5">
    <cellStyle name="パーセント" xfId="1" builtinId="5"/>
    <cellStyle name="パーセント 2" xfId="3"/>
    <cellStyle name="標準" xfId="0" builtinId="0"/>
    <cellStyle name="標準 2" xfId="2"/>
    <cellStyle name="標準 3" xfId="4"/>
  </cellStyles>
  <dxfs count="18">
    <dxf>
      <font>
        <b/>
        <i val="0"/>
        <strike val="0"/>
      </font>
    </dxf>
    <dxf>
      <font>
        <b/>
        <i val="0"/>
        <strike val="0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strike val="0"/>
      </font>
    </dxf>
    <dxf>
      <font>
        <b/>
        <i val="0"/>
        <strike val="0"/>
      </font>
    </dxf>
    <dxf>
      <font>
        <color rgb="FFFF0000"/>
      </font>
    </dxf>
    <dxf>
      <font>
        <color rgb="FFFF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7DFF7D"/>
      <color rgb="FF97FF97"/>
      <color rgb="FFC9C9FF"/>
      <color rgb="FFC9FFC9"/>
      <color rgb="FFFFC9C9"/>
      <color rgb="FFD1FFD1"/>
      <color rgb="FFD1D1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B16"/>
  <sheetViews>
    <sheetView showGridLines="0" workbookViewId="0">
      <selection activeCell="A23" sqref="A23:E43"/>
    </sheetView>
  </sheetViews>
  <sheetFormatPr defaultRowHeight="13.5"/>
  <cols>
    <col min="1" max="1" width="2.25" customWidth="1"/>
    <col min="5" max="6" width="2.25" customWidth="1"/>
  </cols>
  <sheetData>
    <row r="2" spans="2:2">
      <c r="B2" s="4" t="s">
        <v>5</v>
      </c>
    </row>
    <row r="5" spans="2:2">
      <c r="B5" s="1" t="s">
        <v>0</v>
      </c>
    </row>
    <row r="7" spans="2:2">
      <c r="B7" s="1" t="s">
        <v>1</v>
      </c>
    </row>
    <row r="11" spans="2:2">
      <c r="B11" s="1" t="s">
        <v>2</v>
      </c>
    </row>
    <row r="13" spans="2:2">
      <c r="B13" s="1" t="s">
        <v>3</v>
      </c>
    </row>
    <row r="15" spans="2:2">
      <c r="B15" s="107" t="s">
        <v>4</v>
      </c>
    </row>
    <row r="16" spans="2:2">
      <c r="B16" s="107"/>
    </row>
  </sheetData>
  <mergeCells count="1">
    <mergeCell ref="B15:B16"/>
  </mergeCells>
  <phoneticPr fontId="5"/>
  <pageMargins left="0.7" right="0.7" top="0.75" bottom="0.75" header="0.3" footer="0.3"/>
  <pageSetup paperSize="9" orientation="portrait" r:id="rId1"/>
  <legacyDrawing r:id="rId2"/>
  <controls>
    <control shapeId="1043" r:id="rId3" name="TextBox5"/>
    <control shapeId="1042" r:id="rId4" name="TextBox4"/>
    <control shapeId="1037" r:id="rId5" name="TextBox3"/>
    <control shapeId="1036" r:id="rId6" name="CommandButton1"/>
    <control shapeId="1035" r:id="rId7" name="ComboBox2"/>
    <control shapeId="1034" r:id="rId8" name="ComboBox1"/>
    <control shapeId="1033" r:id="rId9" name="TextBox2"/>
    <control shapeId="1032" r:id="rId10" name="Text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F21"/>
  <sheetViews>
    <sheetView showGridLines="0" zoomScale="130" zoomScaleNormal="130" workbookViewId="0"/>
  </sheetViews>
  <sheetFormatPr defaultRowHeight="13.5"/>
  <cols>
    <col min="1" max="1" width="2.25" style="5" customWidth="1"/>
    <col min="2" max="16384" width="9" style="5"/>
  </cols>
  <sheetData>
    <row r="2" spans="2:6">
      <c r="B2" s="24" t="s">
        <v>22</v>
      </c>
    </row>
    <row r="4" spans="2:6">
      <c r="B4" s="108" t="s">
        <v>6</v>
      </c>
      <c r="C4" s="6" t="s">
        <v>7</v>
      </c>
      <c r="D4" s="7">
        <v>10000</v>
      </c>
    </row>
    <row r="5" spans="2:6" ht="16.5">
      <c r="B5" s="109"/>
      <c r="C5" s="8" t="s">
        <v>8</v>
      </c>
      <c r="D5" s="9">
        <v>5</v>
      </c>
    </row>
    <row r="6" spans="2:6" ht="16.5">
      <c r="B6" s="109"/>
      <c r="C6" s="8" t="s">
        <v>9</v>
      </c>
      <c r="D6" s="9">
        <v>0</v>
      </c>
    </row>
    <row r="7" spans="2:6">
      <c r="B7" s="109"/>
      <c r="C7" s="8" t="s">
        <v>10</v>
      </c>
      <c r="D7" s="10">
        <v>0.1</v>
      </c>
    </row>
    <row r="8" spans="2:6" ht="16.5">
      <c r="B8" s="109"/>
      <c r="C8" s="8" t="s">
        <v>11</v>
      </c>
      <c r="D8" s="11">
        <v>4</v>
      </c>
    </row>
    <row r="9" spans="2:6" ht="16.5">
      <c r="B9" s="110"/>
      <c r="C9" s="12" t="s">
        <v>12</v>
      </c>
      <c r="D9" s="23">
        <v>2</v>
      </c>
    </row>
    <row r="10" spans="2:6" ht="16.5" hidden="1">
      <c r="B10" s="111" t="s">
        <v>13</v>
      </c>
      <c r="C10" s="8" t="s">
        <v>11</v>
      </c>
      <c r="D10" s="9">
        <f>D8*(1+D7)</f>
        <v>4.4000000000000004</v>
      </c>
    </row>
    <row r="11" spans="2:6" ht="16.5" hidden="1">
      <c r="B11" s="112"/>
      <c r="C11" s="13" t="s">
        <v>12</v>
      </c>
      <c r="D11" s="11">
        <f>D9*(1-D7)</f>
        <v>1.8</v>
      </c>
      <c r="E11" s="14"/>
    </row>
    <row r="12" spans="2:6" hidden="1">
      <c r="B12" s="112"/>
      <c r="C12" s="15" t="s">
        <v>14</v>
      </c>
      <c r="D12" s="9">
        <f>(D10-D11)/(D5-D6)</f>
        <v>0.52000000000000013</v>
      </c>
      <c r="F12" s="16"/>
    </row>
    <row r="13" spans="2:6" hidden="1">
      <c r="B13" s="112"/>
      <c r="C13" s="15" t="s">
        <v>15</v>
      </c>
      <c r="D13" s="9">
        <f>D4/D12*(1-D12)</f>
        <v>9230.7692307692269</v>
      </c>
    </row>
    <row r="14" spans="2:6" hidden="1">
      <c r="B14" s="112"/>
      <c r="C14" s="15" t="s">
        <v>16</v>
      </c>
      <c r="D14" s="9">
        <f>(D5-D10)/((D5-D10)+(D11-D6))</f>
        <v>0.24999999999999992</v>
      </c>
    </row>
    <row r="15" spans="2:6" hidden="1">
      <c r="B15" s="113"/>
      <c r="C15" s="17" t="s">
        <v>17</v>
      </c>
      <c r="D15" s="18">
        <f>(D11-D6)/((D5-D10)+(D11-D6))</f>
        <v>0.75000000000000022</v>
      </c>
    </row>
    <row r="16" spans="2:6">
      <c r="B16" s="109" t="s">
        <v>18</v>
      </c>
      <c r="C16" s="15" t="s">
        <v>16</v>
      </c>
      <c r="D16" s="19">
        <f>D13*D14</f>
        <v>2307.6923076923058</v>
      </c>
    </row>
    <row r="17" spans="2:5">
      <c r="B17" s="110"/>
      <c r="C17" s="17" t="s">
        <v>17</v>
      </c>
      <c r="D17" s="18">
        <f>D13*D15</f>
        <v>6923.076923076922</v>
      </c>
    </row>
    <row r="18" spans="2:5">
      <c r="B18" s="109" t="s">
        <v>19</v>
      </c>
      <c r="C18" s="15" t="s">
        <v>16</v>
      </c>
      <c r="D18" s="9">
        <v>2200</v>
      </c>
      <c r="E18" s="20" t="s">
        <v>20</v>
      </c>
    </row>
    <row r="19" spans="2:5">
      <c r="B19" s="110"/>
      <c r="C19" s="17" t="s">
        <v>17</v>
      </c>
      <c r="D19" s="18">
        <v>6800</v>
      </c>
      <c r="E19" s="20" t="s">
        <v>20</v>
      </c>
    </row>
    <row r="20" spans="2:5" ht="16.5">
      <c r="B20" s="108" t="s">
        <v>21</v>
      </c>
      <c r="C20" s="8" t="s">
        <v>11</v>
      </c>
      <c r="D20" s="21">
        <f>(D5-D6)*((D19+D4)/(D4+D18+D19))+D6</f>
        <v>4.4210526315789469</v>
      </c>
    </row>
    <row r="21" spans="2:5" ht="16.5">
      <c r="B21" s="110"/>
      <c r="C21" s="12" t="s">
        <v>12</v>
      </c>
      <c r="D21" s="22">
        <f>(D5-D6)*((D19)/(D4+D18+D19))+D6</f>
        <v>1.7894736842105263</v>
      </c>
    </row>
  </sheetData>
  <mergeCells count="5">
    <mergeCell ref="B4:B9"/>
    <mergeCell ref="B10:B15"/>
    <mergeCell ref="B16:B17"/>
    <mergeCell ref="B18:B19"/>
    <mergeCell ref="B20:B21"/>
  </mergeCells>
  <phoneticPr fontId="5"/>
  <conditionalFormatting sqref="D5:D7 D10:D11">
    <cfRule type="expression" dxfId="17" priority="5">
      <formula>$D$16&lt;0</formula>
    </cfRule>
    <cfRule type="expression" dxfId="16" priority="6">
      <formula>$D$17&lt;0</formula>
    </cfRule>
  </conditionalFormatting>
  <conditionalFormatting sqref="D20">
    <cfRule type="cellIs" dxfId="15" priority="4" operator="lessThan">
      <formula>$D$10</formula>
    </cfRule>
  </conditionalFormatting>
  <conditionalFormatting sqref="D21">
    <cfRule type="cellIs" dxfId="14" priority="3" operator="greaterThan">
      <formula>$D$11</formula>
    </cfRule>
  </conditionalFormatting>
  <conditionalFormatting sqref="E18:E19">
    <cfRule type="expression" dxfId="13" priority="1">
      <formula>$D$11&lt;$D$21</formula>
    </cfRule>
    <cfRule type="expression" dxfId="12" priority="2">
      <formula>$D$10&gt;$D$20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2:A100"/>
  <sheetViews>
    <sheetView workbookViewId="0"/>
  </sheetViews>
  <sheetFormatPr defaultRowHeight="13.5"/>
  <cols>
    <col min="1" max="16384" width="9" style="3"/>
  </cols>
  <sheetData>
    <row r="2" spans="1:1">
      <c r="A2" s="2">
        <v>1</v>
      </c>
    </row>
    <row r="3" spans="1:1">
      <c r="A3" s="2">
        <v>1.1000000000000001</v>
      </c>
    </row>
    <row r="4" spans="1:1">
      <c r="A4" s="2">
        <v>1.2</v>
      </c>
    </row>
    <row r="5" spans="1:1">
      <c r="A5" s="2">
        <v>1.3</v>
      </c>
    </row>
    <row r="6" spans="1:1">
      <c r="A6" s="2">
        <v>1.5</v>
      </c>
    </row>
    <row r="7" spans="1:1">
      <c r="A7" s="2">
        <v>1.6</v>
      </c>
    </row>
    <row r="8" spans="1:1">
      <c r="A8" s="2">
        <v>1.8</v>
      </c>
    </row>
    <row r="9" spans="1:1">
      <c r="A9" s="2">
        <v>2</v>
      </c>
    </row>
    <row r="10" spans="1:1">
      <c r="A10" s="2">
        <v>2.2000000000000002</v>
      </c>
    </row>
    <row r="11" spans="1:1">
      <c r="A11" s="2">
        <v>2.4</v>
      </c>
    </row>
    <row r="12" spans="1:1">
      <c r="A12" s="2">
        <v>2.7</v>
      </c>
    </row>
    <row r="13" spans="1:1">
      <c r="A13" s="2">
        <v>3</v>
      </c>
    </row>
    <row r="14" spans="1:1">
      <c r="A14" s="2">
        <v>3.3</v>
      </c>
    </row>
    <row r="15" spans="1:1">
      <c r="A15" s="2">
        <v>3.6</v>
      </c>
    </row>
    <row r="16" spans="1:1">
      <c r="A16" s="2">
        <v>3.9</v>
      </c>
    </row>
    <row r="17" spans="1:1">
      <c r="A17" s="2">
        <v>4.3</v>
      </c>
    </row>
    <row r="18" spans="1:1">
      <c r="A18" s="2">
        <v>4.7</v>
      </c>
    </row>
    <row r="19" spans="1:1">
      <c r="A19" s="2">
        <v>5.0999999999999996</v>
      </c>
    </row>
    <row r="20" spans="1:1">
      <c r="A20" s="2">
        <v>5.6</v>
      </c>
    </row>
    <row r="21" spans="1:1">
      <c r="A21" s="2">
        <v>6.2</v>
      </c>
    </row>
    <row r="22" spans="1:1">
      <c r="A22" s="2">
        <v>6.8</v>
      </c>
    </row>
    <row r="23" spans="1:1">
      <c r="A23" s="2">
        <v>7.5</v>
      </c>
    </row>
    <row r="24" spans="1:1">
      <c r="A24" s="2">
        <v>8.1999999999999993</v>
      </c>
    </row>
    <row r="25" spans="1:1">
      <c r="A25" s="2">
        <v>9.1</v>
      </c>
    </row>
    <row r="26" spans="1:1">
      <c r="A26" s="2">
        <v>10</v>
      </c>
    </row>
    <row r="27" spans="1:1">
      <c r="A27" s="2">
        <f>A3*10</f>
        <v>11</v>
      </c>
    </row>
    <row r="28" spans="1:1">
      <c r="A28" s="2">
        <f t="shared" ref="A28:A74" si="0">A4*10</f>
        <v>12</v>
      </c>
    </row>
    <row r="29" spans="1:1">
      <c r="A29" s="2">
        <f t="shared" si="0"/>
        <v>13</v>
      </c>
    </row>
    <row r="30" spans="1:1">
      <c r="A30" s="2">
        <f t="shared" si="0"/>
        <v>15</v>
      </c>
    </row>
    <row r="31" spans="1:1">
      <c r="A31" s="2">
        <f t="shared" si="0"/>
        <v>16</v>
      </c>
    </row>
    <row r="32" spans="1:1">
      <c r="A32" s="2">
        <f t="shared" si="0"/>
        <v>18</v>
      </c>
    </row>
    <row r="33" spans="1:1">
      <c r="A33" s="2">
        <f t="shared" si="0"/>
        <v>20</v>
      </c>
    </row>
    <row r="34" spans="1:1">
      <c r="A34" s="2">
        <f t="shared" si="0"/>
        <v>22</v>
      </c>
    </row>
    <row r="35" spans="1:1">
      <c r="A35" s="2">
        <f t="shared" si="0"/>
        <v>24</v>
      </c>
    </row>
    <row r="36" spans="1:1">
      <c r="A36" s="2">
        <f t="shared" si="0"/>
        <v>27</v>
      </c>
    </row>
    <row r="37" spans="1:1">
      <c r="A37" s="2">
        <f t="shared" si="0"/>
        <v>30</v>
      </c>
    </row>
    <row r="38" spans="1:1">
      <c r="A38" s="2">
        <f t="shared" si="0"/>
        <v>33</v>
      </c>
    </row>
    <row r="39" spans="1:1">
      <c r="A39" s="2">
        <f t="shared" si="0"/>
        <v>36</v>
      </c>
    </row>
    <row r="40" spans="1:1">
      <c r="A40" s="2">
        <f t="shared" si="0"/>
        <v>39</v>
      </c>
    </row>
    <row r="41" spans="1:1">
      <c r="A41" s="2">
        <f t="shared" si="0"/>
        <v>43</v>
      </c>
    </row>
    <row r="42" spans="1:1">
      <c r="A42" s="2">
        <f t="shared" si="0"/>
        <v>47</v>
      </c>
    </row>
    <row r="43" spans="1:1">
      <c r="A43" s="2">
        <f t="shared" si="0"/>
        <v>51</v>
      </c>
    </row>
    <row r="44" spans="1:1">
      <c r="A44" s="2">
        <f t="shared" si="0"/>
        <v>56</v>
      </c>
    </row>
    <row r="45" spans="1:1">
      <c r="A45" s="2">
        <f t="shared" si="0"/>
        <v>62</v>
      </c>
    </row>
    <row r="46" spans="1:1">
      <c r="A46" s="2">
        <f t="shared" si="0"/>
        <v>68</v>
      </c>
    </row>
    <row r="47" spans="1:1">
      <c r="A47" s="2">
        <f t="shared" si="0"/>
        <v>75</v>
      </c>
    </row>
    <row r="48" spans="1:1">
      <c r="A48" s="2">
        <f t="shared" si="0"/>
        <v>82</v>
      </c>
    </row>
    <row r="49" spans="1:1">
      <c r="A49" s="2">
        <f t="shared" si="0"/>
        <v>91</v>
      </c>
    </row>
    <row r="50" spans="1:1">
      <c r="A50" s="2">
        <f t="shared" si="0"/>
        <v>100</v>
      </c>
    </row>
    <row r="51" spans="1:1">
      <c r="A51" s="2">
        <f t="shared" si="0"/>
        <v>110</v>
      </c>
    </row>
    <row r="52" spans="1:1">
      <c r="A52" s="2">
        <f t="shared" si="0"/>
        <v>120</v>
      </c>
    </row>
    <row r="53" spans="1:1">
      <c r="A53" s="2">
        <f t="shared" si="0"/>
        <v>130</v>
      </c>
    </row>
    <row r="54" spans="1:1">
      <c r="A54" s="2">
        <f t="shared" si="0"/>
        <v>150</v>
      </c>
    </row>
    <row r="55" spans="1:1">
      <c r="A55" s="2">
        <f t="shared" si="0"/>
        <v>160</v>
      </c>
    </row>
    <row r="56" spans="1:1">
      <c r="A56" s="2">
        <f t="shared" si="0"/>
        <v>180</v>
      </c>
    </row>
    <row r="57" spans="1:1">
      <c r="A57" s="2">
        <f t="shared" si="0"/>
        <v>200</v>
      </c>
    </row>
    <row r="58" spans="1:1">
      <c r="A58" s="2">
        <f t="shared" si="0"/>
        <v>220</v>
      </c>
    </row>
    <row r="59" spans="1:1">
      <c r="A59" s="2">
        <f t="shared" si="0"/>
        <v>240</v>
      </c>
    </row>
    <row r="60" spans="1:1">
      <c r="A60" s="2">
        <f t="shared" si="0"/>
        <v>270</v>
      </c>
    </row>
    <row r="61" spans="1:1">
      <c r="A61" s="2">
        <f t="shared" si="0"/>
        <v>300</v>
      </c>
    </row>
    <row r="62" spans="1:1">
      <c r="A62" s="2">
        <f t="shared" si="0"/>
        <v>330</v>
      </c>
    </row>
    <row r="63" spans="1:1">
      <c r="A63" s="2">
        <f t="shared" si="0"/>
        <v>360</v>
      </c>
    </row>
    <row r="64" spans="1:1">
      <c r="A64" s="2">
        <f t="shared" si="0"/>
        <v>390</v>
      </c>
    </row>
    <row r="65" spans="1:1">
      <c r="A65" s="2">
        <f t="shared" si="0"/>
        <v>430</v>
      </c>
    </row>
    <row r="66" spans="1:1">
      <c r="A66" s="2">
        <f t="shared" si="0"/>
        <v>470</v>
      </c>
    </row>
    <row r="67" spans="1:1">
      <c r="A67" s="2">
        <f t="shared" si="0"/>
        <v>510</v>
      </c>
    </row>
    <row r="68" spans="1:1">
      <c r="A68" s="2">
        <f t="shared" si="0"/>
        <v>560</v>
      </c>
    </row>
    <row r="69" spans="1:1">
      <c r="A69" s="2">
        <f t="shared" si="0"/>
        <v>620</v>
      </c>
    </row>
    <row r="70" spans="1:1">
      <c r="A70" s="2">
        <f t="shared" si="0"/>
        <v>680</v>
      </c>
    </row>
    <row r="71" spans="1:1">
      <c r="A71" s="2">
        <f t="shared" si="0"/>
        <v>750</v>
      </c>
    </row>
    <row r="72" spans="1:1">
      <c r="A72" s="2">
        <f t="shared" si="0"/>
        <v>820</v>
      </c>
    </row>
    <row r="73" spans="1:1">
      <c r="A73" s="2">
        <f t="shared" si="0"/>
        <v>910</v>
      </c>
    </row>
    <row r="74" spans="1:1">
      <c r="A74" s="2">
        <f t="shared" si="0"/>
        <v>1000</v>
      </c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</sheetData>
  <phoneticPr fontId="8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B1:BC39"/>
  <sheetViews>
    <sheetView showGridLines="0" topLeftCell="A6" workbookViewId="0">
      <selection activeCell="AR8" sqref="AR8"/>
    </sheetView>
  </sheetViews>
  <sheetFormatPr defaultColWidth="4" defaultRowHeight="13.5"/>
  <cols>
    <col min="2" max="2" width="4.5" bestFit="1" customWidth="1"/>
    <col min="10" max="10" width="4" customWidth="1"/>
    <col min="12" max="15" width="4" customWidth="1"/>
    <col min="16" max="25" width="4" hidden="1" customWidth="1"/>
  </cols>
  <sheetData>
    <row r="1" spans="2:55" hidden="1">
      <c r="P1">
        <v>13</v>
      </c>
      <c r="Q1">
        <v>15</v>
      </c>
      <c r="R1">
        <v>7</v>
      </c>
      <c r="S1">
        <v>5</v>
      </c>
      <c r="V1">
        <v>4</v>
      </c>
      <c r="W1">
        <v>8</v>
      </c>
      <c r="X1">
        <v>7</v>
      </c>
      <c r="Y1">
        <v>3</v>
      </c>
    </row>
    <row r="2" spans="2:55" hidden="1">
      <c r="P2">
        <v>14</v>
      </c>
      <c r="Q2">
        <v>16</v>
      </c>
      <c r="R2">
        <v>8</v>
      </c>
      <c r="S2">
        <v>6</v>
      </c>
      <c r="V2">
        <v>2</v>
      </c>
      <c r="W2">
        <v>6</v>
      </c>
      <c r="X2">
        <v>5</v>
      </c>
      <c r="Y2">
        <v>1</v>
      </c>
    </row>
    <row r="3" spans="2:55" hidden="1">
      <c r="P3">
        <v>10</v>
      </c>
      <c r="Q3">
        <v>12</v>
      </c>
      <c r="R3">
        <v>4</v>
      </c>
      <c r="S3">
        <v>2</v>
      </c>
    </row>
    <row r="4" spans="2:55" hidden="1">
      <c r="P4">
        <v>9</v>
      </c>
      <c r="Q4">
        <v>11</v>
      </c>
      <c r="R4">
        <v>3</v>
      </c>
      <c r="S4">
        <v>1</v>
      </c>
      <c r="X4">
        <v>4</v>
      </c>
      <c r="Y4">
        <v>3</v>
      </c>
    </row>
    <row r="5" spans="2:55" hidden="1">
      <c r="X5">
        <v>2</v>
      </c>
      <c r="Y5">
        <v>1</v>
      </c>
    </row>
    <row r="7" spans="2:55">
      <c r="B7" t="s">
        <v>73</v>
      </c>
    </row>
    <row r="8" spans="2:55">
      <c r="B8" t="s">
        <v>65</v>
      </c>
    </row>
    <row r="10" spans="2:55">
      <c r="B10" t="s">
        <v>23</v>
      </c>
      <c r="AJ10" s="75"/>
    </row>
    <row r="11" spans="2:55">
      <c r="B11" s="26" t="s">
        <v>24</v>
      </c>
      <c r="C11" s="76" t="s">
        <v>50</v>
      </c>
      <c r="D11" s="76" t="s">
        <v>51</v>
      </c>
      <c r="E11" s="76" t="s">
        <v>26</v>
      </c>
      <c r="F11" s="28" t="s">
        <v>52</v>
      </c>
      <c r="G11" s="76" t="s">
        <v>53</v>
      </c>
      <c r="H11" s="95" t="s">
        <v>54</v>
      </c>
      <c r="I11" s="76" t="s">
        <v>48</v>
      </c>
      <c r="J11" s="95" t="s">
        <v>49</v>
      </c>
      <c r="K11" s="76" t="s">
        <v>55</v>
      </c>
      <c r="L11" s="95" t="s">
        <v>56</v>
      </c>
      <c r="M11" s="76" t="s">
        <v>57</v>
      </c>
      <c r="N11" s="76" t="s">
        <v>58</v>
      </c>
      <c r="O11" s="29"/>
      <c r="P11" s="29"/>
      <c r="Q11" s="29"/>
      <c r="R11" s="76" t="s">
        <v>53</v>
      </c>
      <c r="S11" s="95" t="s">
        <v>54</v>
      </c>
      <c r="T11" s="76" t="s">
        <v>48</v>
      </c>
      <c r="U11" s="95" t="s">
        <v>49</v>
      </c>
      <c r="V11" s="76" t="s">
        <v>55</v>
      </c>
      <c r="W11" s="95" t="s">
        <v>56</v>
      </c>
      <c r="X11" s="76" t="s">
        <v>57</v>
      </c>
      <c r="Y11" s="76" t="s">
        <v>58</v>
      </c>
    </row>
    <row r="12" spans="2:55">
      <c r="B12" s="30">
        <v>0</v>
      </c>
      <c r="C12" s="75">
        <f>IF(B12&gt;7,1,0)</f>
        <v>0</v>
      </c>
      <c r="D12" s="75">
        <f>IF(MOD(B12,8)&gt;3,1,0)</f>
        <v>0</v>
      </c>
      <c r="E12" s="75">
        <f>IF(MOD(B12,4)&gt;1,1,0)</f>
        <v>0</v>
      </c>
      <c r="F12" s="31">
        <f>MOD(B12,2)</f>
        <v>0</v>
      </c>
      <c r="G12" s="75">
        <f>IF(C12=1,"×",IF(C13=1,1,0))</f>
        <v>0</v>
      </c>
      <c r="H12" s="96" t="str">
        <f>IF(C12=0,"×",IF(C13=0,1,0))</f>
        <v>×</v>
      </c>
      <c r="I12" s="75">
        <f>IF(D12=1,"×",IF(D13=1,1,0))</f>
        <v>0</v>
      </c>
      <c r="J12" s="97" t="str">
        <f>IF(D12=0,"×",IF(D13=0,1,0))</f>
        <v>×</v>
      </c>
      <c r="K12" s="75">
        <f>IF(E12=1,"×",IF(E13=1,1,0))</f>
        <v>0</v>
      </c>
      <c r="L12" s="97" t="str">
        <f>IF(E12=0,"×",IF(E13=0,1,0))</f>
        <v>×</v>
      </c>
      <c r="M12" s="75">
        <f>IF(F12=1,"×",IF(F13=1,1,0))</f>
        <v>1</v>
      </c>
      <c r="N12" s="75" t="str">
        <f>IF(F12=0,"×",IF(F13=0,1,0))</f>
        <v>×</v>
      </c>
      <c r="P12" s="75">
        <v>0</v>
      </c>
      <c r="Q12" s="75">
        <f t="shared" ref="Q12:Q27" si="0">IF(ISNA(MATCH(P12,$B$12:$B$27,0)),"×",MATCH(P12,$B$12:$B$27,0))</f>
        <v>1</v>
      </c>
      <c r="R12" s="75">
        <f t="shared" ref="R12:R27" si="1">IF($Q12="×","×",INDEX(G$12:G$27,$Q12,1))</f>
        <v>0</v>
      </c>
      <c r="S12" s="75" t="str">
        <f t="shared" ref="S12:S27" si="2">IF($Q12="×","×",INDEX(H$12:H$27,$Q12,1))</f>
        <v>×</v>
      </c>
      <c r="T12" s="75">
        <f t="shared" ref="T12:T27" si="3">IF($Q12="×","×",INDEX(I$12:I$27,$Q12,1))</f>
        <v>0</v>
      </c>
      <c r="U12" s="75" t="str">
        <f t="shared" ref="U12:U27" si="4">IF($Q12="×","×",INDEX(J$12:J$27,$Q12,1))</f>
        <v>×</v>
      </c>
      <c r="V12" s="75">
        <f t="shared" ref="V12:V27" si="5">IF($Q12="×","×",INDEX(K$12:K$27,$Q12,1))</f>
        <v>0</v>
      </c>
      <c r="W12" s="75" t="str">
        <f t="shared" ref="W12:W27" si="6">IF($Q12="×","×",INDEX(L$12:L$27,$Q12,1))</f>
        <v>×</v>
      </c>
      <c r="X12" s="75">
        <f t="shared" ref="X12:X27" si="7">IF($Q12="×","×",INDEX(M$12:M$27,$Q12,1))</f>
        <v>1</v>
      </c>
      <c r="Y12" s="75" t="str">
        <f t="shared" ref="Y12:Y27" si="8">IF($Q12="×","×",INDEX(N$12:N$27,$Q12,1))</f>
        <v>×</v>
      </c>
      <c r="AA12" s="32" t="s">
        <v>59</v>
      </c>
      <c r="AB12" s="76" t="s">
        <v>52</v>
      </c>
      <c r="AC12" s="77" t="s">
        <v>52</v>
      </c>
      <c r="AE12" s="32" t="s">
        <v>60</v>
      </c>
      <c r="AF12" s="76" t="s">
        <v>52</v>
      </c>
      <c r="AG12" s="77" t="s">
        <v>52</v>
      </c>
      <c r="AK12" s="32" t="s">
        <v>59</v>
      </c>
      <c r="AL12" s="114" t="s">
        <v>52</v>
      </c>
      <c r="AM12" s="114"/>
      <c r="AN12" s="115" t="s">
        <v>52</v>
      </c>
      <c r="AO12" s="115"/>
      <c r="AR12" s="32" t="s">
        <v>60</v>
      </c>
      <c r="AS12" s="114" t="s">
        <v>52</v>
      </c>
      <c r="AT12" s="114"/>
      <c r="AU12" s="115" t="s">
        <v>52</v>
      </c>
      <c r="AV12" s="115"/>
      <c r="AY12" s="32" t="s">
        <v>63</v>
      </c>
      <c r="AZ12" s="114" t="s">
        <v>52</v>
      </c>
      <c r="BA12" s="114"/>
      <c r="BB12" s="115" t="s">
        <v>52</v>
      </c>
      <c r="BC12" s="115"/>
    </row>
    <row r="13" spans="2:55">
      <c r="B13" s="30">
        <v>1</v>
      </c>
      <c r="C13" s="75">
        <f t="shared" ref="C13:C27" si="9">IF(B13&gt;7,1,0)</f>
        <v>0</v>
      </c>
      <c r="D13" s="75">
        <f t="shared" ref="D13:D26" si="10">IF(MOD(B13,8)&gt;3,1,0)</f>
        <v>0</v>
      </c>
      <c r="E13" s="75">
        <f t="shared" ref="E13:E27" si="11">IF(MOD(B13,4)&gt;1,1,0)</f>
        <v>0</v>
      </c>
      <c r="F13" s="31">
        <f>MOD(B13,2)</f>
        <v>1</v>
      </c>
      <c r="G13" s="75">
        <f>IF(ISNUMBER(B14),IF(C13=1,"×",IF(C14=1,1,0)),IF(C13=1,"×",IF($C$12=1,1,0)))</f>
        <v>0</v>
      </c>
      <c r="H13" s="96" t="str">
        <f>IF(ISNUMBER(B14),IF(C13=0,"×",IF(C14=0,1,0)),IF(C13=0,"×",IF($C$12=0,1,0)))</f>
        <v>×</v>
      </c>
      <c r="I13" s="75">
        <f>IF(ISNUMBER(B14),IF(D13=1,"×",IF(D14=1,1,0)),IF(D13=1,"×",IF($D$12=1,1,0)))</f>
        <v>0</v>
      </c>
      <c r="J13" s="96" t="str">
        <f>IF(ISNUMBER(B14),IF(D13=0,"×",IF(D14=0,1,0)),IF(D13=0,"×",IF($D$12=0,1,0)))</f>
        <v>×</v>
      </c>
      <c r="K13" s="75">
        <f>IF(ISNUMBER(B14),IF(E13=1,"×",IF(E14=1,1,0)),IF(E13=1,"×",IF($E$12=1,1,0)))</f>
        <v>1</v>
      </c>
      <c r="L13" s="96" t="str">
        <f>IF(ISNUMBER(B14),IF(E13=0,"×",IF(E14=0,1,0)),IF(E13=0,"×",IF($E$12=0,1,0)))</f>
        <v>×</v>
      </c>
      <c r="M13" s="75" t="str">
        <f>IF(ISNUMBER(B14),IF(F13=1,"×",IF(F14=1,1,0)),IF(F13=1,"×",IF($F$12=1,1,0)))</f>
        <v>×</v>
      </c>
      <c r="N13" s="75">
        <f>IF(ISNUMBER(B14),IF(F13=0,"×",IF(F14=0,1,0)),IF(F13=0,"×",IF($F$12=0,1,0)))</f>
        <v>1</v>
      </c>
      <c r="P13" s="75">
        <v>1</v>
      </c>
      <c r="Q13" s="75">
        <f t="shared" si="0"/>
        <v>2</v>
      </c>
      <c r="R13" s="75">
        <f t="shared" si="1"/>
        <v>0</v>
      </c>
      <c r="S13" s="75" t="str">
        <f t="shared" si="2"/>
        <v>×</v>
      </c>
      <c r="T13" s="75">
        <f t="shared" si="3"/>
        <v>0</v>
      </c>
      <c r="U13" s="75" t="str">
        <f t="shared" si="4"/>
        <v>×</v>
      </c>
      <c r="V13" s="75">
        <f t="shared" si="5"/>
        <v>1</v>
      </c>
      <c r="W13" s="75" t="str">
        <f t="shared" si="6"/>
        <v>×</v>
      </c>
      <c r="X13" s="75" t="str">
        <f t="shared" si="7"/>
        <v>×</v>
      </c>
      <c r="Y13" s="75">
        <f t="shared" si="8"/>
        <v>1</v>
      </c>
      <c r="AA13" s="78" t="s">
        <v>26</v>
      </c>
      <c r="AB13" s="33" t="str">
        <f>INDEX($X$12:$X$27,X4,1)</f>
        <v>×</v>
      </c>
      <c r="AC13" s="33">
        <f>INDEX($X$12:$X$27,Y4,1)</f>
        <v>0</v>
      </c>
      <c r="AE13" s="78" t="s">
        <v>26</v>
      </c>
      <c r="AF13" s="33" t="str">
        <f>INDEX($V$12:$V$27,X4,1)</f>
        <v>×</v>
      </c>
      <c r="AG13" s="33" t="str">
        <f>INDEX($V$12:$V$27,Y4,1)</f>
        <v>×</v>
      </c>
      <c r="AK13" s="78" t="s">
        <v>26</v>
      </c>
      <c r="AL13" s="33" t="str">
        <f t="shared" ref="AL13:AO14" si="12">INDEX($X$12:$X$27,V1,1)</f>
        <v>×</v>
      </c>
      <c r="AM13" s="33" t="str">
        <f t="shared" si="12"/>
        <v>×</v>
      </c>
      <c r="AN13" s="33" t="str">
        <f t="shared" si="12"/>
        <v>×</v>
      </c>
      <c r="AO13" s="33">
        <f t="shared" si="12"/>
        <v>0</v>
      </c>
      <c r="AR13" s="78" t="s">
        <v>26</v>
      </c>
      <c r="AS13" s="33" t="str">
        <f t="shared" ref="AS13:AV14" si="13">INDEX($V$12:$V$27,V1,1)</f>
        <v>×</v>
      </c>
      <c r="AT13" s="33" t="str">
        <f t="shared" si="13"/>
        <v>×</v>
      </c>
      <c r="AU13" s="33" t="str">
        <f t="shared" si="13"/>
        <v>×</v>
      </c>
      <c r="AV13" s="33" t="str">
        <f t="shared" si="13"/>
        <v>×</v>
      </c>
      <c r="AY13" s="78" t="s">
        <v>26</v>
      </c>
      <c r="AZ13" s="33" t="str">
        <f t="shared" ref="AZ13:BC14" si="14">INDEX($T$12:$T$27,V1,1)</f>
        <v>×</v>
      </c>
      <c r="BA13" s="33" t="str">
        <f t="shared" si="14"/>
        <v>×</v>
      </c>
      <c r="BB13" s="33" t="str">
        <f t="shared" si="14"/>
        <v>×</v>
      </c>
      <c r="BC13" s="33">
        <f t="shared" si="14"/>
        <v>0</v>
      </c>
    </row>
    <row r="14" spans="2:55">
      <c r="B14" s="30">
        <v>2</v>
      </c>
      <c r="C14" s="75">
        <f t="shared" si="9"/>
        <v>0</v>
      </c>
      <c r="D14" s="75">
        <f t="shared" si="10"/>
        <v>0</v>
      </c>
      <c r="E14" s="75">
        <f t="shared" si="11"/>
        <v>1</v>
      </c>
      <c r="F14" s="31">
        <f>MOD(B14,2)</f>
        <v>0</v>
      </c>
      <c r="G14" s="75">
        <f>IF(ISNUMBER(B15),IF(C14=1,"×",IF(C15=1,1,0)),IF(C14=1,"×",IF($C$12=1,1,0)))</f>
        <v>0</v>
      </c>
      <c r="H14" s="96" t="str">
        <f t="shared" ref="H14:H26" si="15">IF(ISNUMBER(B15),IF(C14=0,"×",IF(C15=0,1,0)),IF(C14=0,"×",IF($C$12=0,1,0)))</f>
        <v>×</v>
      </c>
      <c r="I14" s="75">
        <f t="shared" ref="I14:I26" si="16">IF(ISNUMBER(B15),IF(D14=1,"×",IF(D15=1,1,0)),IF(D14=1,"×",IF($D$12=1,1,0)))</f>
        <v>0</v>
      </c>
      <c r="J14" s="96" t="str">
        <f t="shared" ref="J14:J26" si="17">IF(ISNUMBER(B15),IF(D14=0,"×",IF(D15=0,1,0)),IF(D14=0,"×",IF($D$12=0,1,0)))</f>
        <v>×</v>
      </c>
      <c r="K14" s="75" t="str">
        <f t="shared" ref="K14:K26" si="18">IF(ISNUMBER(B15),IF(E14=1,"×",IF(E15=1,1,0)),IF(E14=1,"×",IF($E$12=1,1,0)))</f>
        <v>×</v>
      </c>
      <c r="L14" s="96">
        <f>IF(ISNUMBER(B15),IF(E14=0,"×",IF(E15=0,1,0)),IF(E14=0,"×",IF($E$12=0,1,0)))</f>
        <v>1</v>
      </c>
      <c r="M14" s="75">
        <f t="shared" ref="M14:M26" si="19">IF(ISNUMBER(B15),IF(F14=1,"×",IF(F15=1,1,0)),IF(F14=1,"×",IF($F$12=1,1,0)))</f>
        <v>0</v>
      </c>
      <c r="N14" s="75" t="str">
        <f t="shared" ref="N14:N26" si="20">IF(ISNUMBER(B15),IF(F14=0,"×",IF(F15=0,1,0)),IF(F14=0,"×",IF($F$12=0,1,0)))</f>
        <v>×</v>
      </c>
      <c r="P14" s="75">
        <v>2</v>
      </c>
      <c r="Q14" s="75">
        <f t="shared" si="0"/>
        <v>3</v>
      </c>
      <c r="R14" s="75">
        <f t="shared" si="1"/>
        <v>0</v>
      </c>
      <c r="S14" s="75" t="str">
        <f t="shared" si="2"/>
        <v>×</v>
      </c>
      <c r="T14" s="75">
        <f t="shared" si="3"/>
        <v>0</v>
      </c>
      <c r="U14" s="75" t="str">
        <f t="shared" si="4"/>
        <v>×</v>
      </c>
      <c r="V14" s="75" t="str">
        <f t="shared" si="5"/>
        <v>×</v>
      </c>
      <c r="W14" s="75">
        <f t="shared" si="6"/>
        <v>1</v>
      </c>
      <c r="X14" s="75">
        <f t="shared" si="7"/>
        <v>0</v>
      </c>
      <c r="Y14" s="75" t="str">
        <f t="shared" si="8"/>
        <v>×</v>
      </c>
      <c r="AA14" s="79" t="s">
        <v>26</v>
      </c>
      <c r="AB14" s="33" t="str">
        <f>INDEX($X$12:$X$27,X5,1)</f>
        <v>×</v>
      </c>
      <c r="AC14" s="33">
        <f>INDEX($X$12:$X$27,Y5,1)</f>
        <v>1</v>
      </c>
      <c r="AE14" s="79" t="s">
        <v>26</v>
      </c>
      <c r="AF14" s="33">
        <f>INDEX($V$12:$V$27,X5,1)</f>
        <v>1</v>
      </c>
      <c r="AG14" s="33">
        <f>INDEX($V$12:$V$27,Y5,1)</f>
        <v>0</v>
      </c>
      <c r="AK14" s="79" t="s">
        <v>26</v>
      </c>
      <c r="AL14" s="33" t="str">
        <f t="shared" si="12"/>
        <v>×</v>
      </c>
      <c r="AM14" s="33" t="str">
        <f t="shared" si="12"/>
        <v>×</v>
      </c>
      <c r="AN14" s="33" t="str">
        <f t="shared" si="12"/>
        <v>×</v>
      </c>
      <c r="AO14" s="33">
        <f t="shared" si="12"/>
        <v>1</v>
      </c>
      <c r="AR14" s="79" t="s">
        <v>26</v>
      </c>
      <c r="AS14" s="33">
        <f t="shared" si="13"/>
        <v>1</v>
      </c>
      <c r="AT14" s="33" t="str">
        <f t="shared" si="13"/>
        <v>×</v>
      </c>
      <c r="AU14" s="33" t="str">
        <f t="shared" si="13"/>
        <v>×</v>
      </c>
      <c r="AV14" s="33">
        <f t="shared" si="13"/>
        <v>0</v>
      </c>
      <c r="AY14" s="79" t="s">
        <v>26</v>
      </c>
      <c r="AZ14" s="33">
        <f t="shared" si="14"/>
        <v>0</v>
      </c>
      <c r="BA14" s="33" t="str">
        <f t="shared" si="14"/>
        <v>×</v>
      </c>
      <c r="BB14" s="33" t="str">
        <f t="shared" si="14"/>
        <v>×</v>
      </c>
      <c r="BC14" s="33">
        <f t="shared" si="14"/>
        <v>0</v>
      </c>
    </row>
    <row r="15" spans="2:55">
      <c r="B15" s="30"/>
      <c r="C15" s="75">
        <f>IF(B15&gt;7,1,0)</f>
        <v>0</v>
      </c>
      <c r="D15" s="75">
        <f t="shared" si="10"/>
        <v>0</v>
      </c>
      <c r="E15" s="75">
        <f t="shared" si="11"/>
        <v>0</v>
      </c>
      <c r="F15" s="31">
        <f>MOD(B15,2)</f>
        <v>0</v>
      </c>
      <c r="G15" s="75">
        <f t="shared" ref="G15:G26" si="21">IF(ISNUMBER(B16),IF(C15=1,"×",IF(C16=1,1,0)),IF(C15=1,"×",IF($C$12=1,1,0)))</f>
        <v>0</v>
      </c>
      <c r="H15" s="96" t="str">
        <f t="shared" si="15"/>
        <v>×</v>
      </c>
      <c r="I15" s="75">
        <f t="shared" si="16"/>
        <v>0</v>
      </c>
      <c r="J15" s="96" t="str">
        <f t="shared" si="17"/>
        <v>×</v>
      </c>
      <c r="K15" s="75">
        <f t="shared" si="18"/>
        <v>0</v>
      </c>
      <c r="L15" s="96" t="str">
        <f t="shared" ref="L15:L26" si="22">IF(ISNUMBER(B16),IF(E15=0,"×",IF(E16=0,1,0)),IF(E15=0,"×",IF($E$12=0,1,0)))</f>
        <v>×</v>
      </c>
      <c r="M15" s="75">
        <f t="shared" si="19"/>
        <v>0</v>
      </c>
      <c r="N15" s="75" t="str">
        <f t="shared" si="20"/>
        <v>×</v>
      </c>
      <c r="P15" s="75">
        <v>3</v>
      </c>
      <c r="Q15" s="75" t="str">
        <f t="shared" si="0"/>
        <v>×</v>
      </c>
      <c r="R15" s="75" t="str">
        <f t="shared" si="1"/>
        <v>×</v>
      </c>
      <c r="S15" s="75" t="str">
        <f t="shared" si="2"/>
        <v>×</v>
      </c>
      <c r="T15" s="75" t="str">
        <f t="shared" si="3"/>
        <v>×</v>
      </c>
      <c r="U15" s="75" t="str">
        <f t="shared" si="4"/>
        <v>×</v>
      </c>
      <c r="V15" s="75" t="str">
        <f t="shared" si="5"/>
        <v>×</v>
      </c>
      <c r="W15" s="75" t="str">
        <f t="shared" si="6"/>
        <v>×</v>
      </c>
      <c r="X15" s="75" t="str">
        <f t="shared" si="7"/>
        <v>×</v>
      </c>
      <c r="Y15" s="75" t="str">
        <f t="shared" si="8"/>
        <v>×</v>
      </c>
      <c r="AL15" s="38" t="s">
        <v>51</v>
      </c>
      <c r="AM15" s="116" t="s">
        <v>51</v>
      </c>
      <c r="AN15" s="116"/>
      <c r="AO15" s="38" t="s">
        <v>51</v>
      </c>
      <c r="AS15" s="38" t="s">
        <v>51</v>
      </c>
      <c r="AT15" s="116" t="s">
        <v>51</v>
      </c>
      <c r="AU15" s="116"/>
      <c r="AV15" s="38" t="s">
        <v>51</v>
      </c>
      <c r="AZ15" s="38" t="s">
        <v>51</v>
      </c>
      <c r="BA15" s="116" t="s">
        <v>51</v>
      </c>
      <c r="BB15" s="116"/>
      <c r="BC15" s="38" t="s">
        <v>51</v>
      </c>
    </row>
    <row r="16" spans="2:55">
      <c r="B16" s="30"/>
      <c r="C16" s="75">
        <f t="shared" si="9"/>
        <v>0</v>
      </c>
      <c r="D16" s="75">
        <f t="shared" si="10"/>
        <v>0</v>
      </c>
      <c r="E16" s="75">
        <f t="shared" si="11"/>
        <v>0</v>
      </c>
      <c r="F16" s="31">
        <f t="shared" ref="F16:F27" si="23">MOD(B16,2)</f>
        <v>0</v>
      </c>
      <c r="G16" s="75">
        <f t="shared" si="21"/>
        <v>0</v>
      </c>
      <c r="H16" s="96" t="str">
        <f t="shared" si="15"/>
        <v>×</v>
      </c>
      <c r="I16" s="75">
        <f t="shared" si="16"/>
        <v>0</v>
      </c>
      <c r="J16" s="96" t="str">
        <f t="shared" si="17"/>
        <v>×</v>
      </c>
      <c r="K16" s="75">
        <f t="shared" si="18"/>
        <v>0</v>
      </c>
      <c r="L16" s="96" t="str">
        <f t="shared" si="22"/>
        <v>×</v>
      </c>
      <c r="M16" s="75">
        <f t="shared" si="19"/>
        <v>0</v>
      </c>
      <c r="N16" s="75" t="str">
        <f t="shared" si="20"/>
        <v>×</v>
      </c>
      <c r="P16" s="75">
        <v>4</v>
      </c>
      <c r="Q16" s="75" t="str">
        <f t="shared" si="0"/>
        <v>×</v>
      </c>
      <c r="R16" s="75" t="str">
        <f t="shared" si="1"/>
        <v>×</v>
      </c>
      <c r="S16" s="75" t="str">
        <f t="shared" si="2"/>
        <v>×</v>
      </c>
      <c r="T16" s="75" t="str">
        <f t="shared" si="3"/>
        <v>×</v>
      </c>
      <c r="U16" s="75" t="str">
        <f t="shared" si="4"/>
        <v>×</v>
      </c>
      <c r="V16" s="75" t="str">
        <f t="shared" si="5"/>
        <v>×</v>
      </c>
      <c r="W16" s="75" t="str">
        <f t="shared" si="6"/>
        <v>×</v>
      </c>
      <c r="X16" s="75" t="str">
        <f t="shared" si="7"/>
        <v>×</v>
      </c>
      <c r="Y16" s="75" t="str">
        <f t="shared" si="8"/>
        <v>×</v>
      </c>
    </row>
    <row r="17" spans="2:55">
      <c r="B17" s="30"/>
      <c r="C17" s="75">
        <f t="shared" si="9"/>
        <v>0</v>
      </c>
      <c r="D17" s="75">
        <f t="shared" si="10"/>
        <v>0</v>
      </c>
      <c r="E17" s="75">
        <f t="shared" si="11"/>
        <v>0</v>
      </c>
      <c r="F17" s="31">
        <f t="shared" si="23"/>
        <v>0</v>
      </c>
      <c r="G17" s="75">
        <f t="shared" si="21"/>
        <v>0</v>
      </c>
      <c r="H17" s="96" t="str">
        <f t="shared" si="15"/>
        <v>×</v>
      </c>
      <c r="I17" s="75">
        <f>IF(ISNUMBER(B18),IF(D17=1,"×",IF(D18=1,1,0)),IF(D17=1,"×",IF($D$12=1,1,0)))</f>
        <v>0</v>
      </c>
      <c r="J17" s="96" t="str">
        <f t="shared" si="17"/>
        <v>×</v>
      </c>
      <c r="K17" s="75">
        <f t="shared" si="18"/>
        <v>0</v>
      </c>
      <c r="L17" s="96" t="str">
        <f t="shared" si="22"/>
        <v>×</v>
      </c>
      <c r="M17" s="75">
        <f t="shared" si="19"/>
        <v>0</v>
      </c>
      <c r="N17" s="75" t="str">
        <f t="shared" si="20"/>
        <v>×</v>
      </c>
      <c r="P17" s="75">
        <v>5</v>
      </c>
      <c r="Q17" s="75" t="str">
        <f t="shared" si="0"/>
        <v>×</v>
      </c>
      <c r="R17" s="75" t="str">
        <f t="shared" si="1"/>
        <v>×</v>
      </c>
      <c r="S17" s="75" t="str">
        <f t="shared" si="2"/>
        <v>×</v>
      </c>
      <c r="T17" s="75" t="str">
        <f t="shared" si="3"/>
        <v>×</v>
      </c>
      <c r="U17" s="75" t="str">
        <f t="shared" si="4"/>
        <v>×</v>
      </c>
      <c r="V17" s="75" t="str">
        <f t="shared" si="5"/>
        <v>×</v>
      </c>
      <c r="W17" s="75" t="str">
        <f t="shared" si="6"/>
        <v>×</v>
      </c>
      <c r="X17" s="75" t="str">
        <f t="shared" si="7"/>
        <v>×</v>
      </c>
      <c r="Y17" s="75" t="str">
        <f t="shared" si="8"/>
        <v>×</v>
      </c>
      <c r="AA17" s="32" t="s">
        <v>61</v>
      </c>
      <c r="AB17" s="76" t="s">
        <v>52</v>
      </c>
      <c r="AC17" s="77" t="s">
        <v>52</v>
      </c>
      <c r="AE17" s="32" t="s">
        <v>62</v>
      </c>
      <c r="AF17" s="76" t="s">
        <v>52</v>
      </c>
      <c r="AG17" s="77" t="s">
        <v>52</v>
      </c>
      <c r="AK17" s="32" t="s">
        <v>61</v>
      </c>
      <c r="AL17" s="114" t="s">
        <v>52</v>
      </c>
      <c r="AM17" s="114"/>
      <c r="AN17" s="115" t="s">
        <v>52</v>
      </c>
      <c r="AO17" s="115"/>
      <c r="AR17" s="32" t="s">
        <v>62</v>
      </c>
      <c r="AS17" s="114" t="s">
        <v>52</v>
      </c>
      <c r="AT17" s="114"/>
      <c r="AU17" s="115" t="s">
        <v>52</v>
      </c>
      <c r="AV17" s="115"/>
      <c r="AY17" s="32" t="s">
        <v>64</v>
      </c>
      <c r="AZ17" s="114" t="s">
        <v>52</v>
      </c>
      <c r="BA17" s="114"/>
      <c r="BB17" s="115" t="s">
        <v>52</v>
      </c>
      <c r="BC17" s="115"/>
    </row>
    <row r="18" spans="2:55">
      <c r="B18" s="30"/>
      <c r="C18" s="75">
        <f t="shared" si="9"/>
        <v>0</v>
      </c>
      <c r="D18" s="75">
        <f t="shared" si="10"/>
        <v>0</v>
      </c>
      <c r="E18" s="75">
        <f t="shared" si="11"/>
        <v>0</v>
      </c>
      <c r="F18" s="31">
        <f t="shared" si="23"/>
        <v>0</v>
      </c>
      <c r="G18" s="75">
        <f t="shared" si="21"/>
        <v>0</v>
      </c>
      <c r="H18" s="96" t="str">
        <f t="shared" si="15"/>
        <v>×</v>
      </c>
      <c r="I18" s="75">
        <f t="shared" si="16"/>
        <v>0</v>
      </c>
      <c r="J18" s="96" t="str">
        <f t="shared" si="17"/>
        <v>×</v>
      </c>
      <c r="K18" s="75">
        <f t="shared" si="18"/>
        <v>0</v>
      </c>
      <c r="L18" s="96" t="str">
        <f t="shared" si="22"/>
        <v>×</v>
      </c>
      <c r="M18" s="75">
        <f t="shared" si="19"/>
        <v>0</v>
      </c>
      <c r="N18" s="75" t="str">
        <f t="shared" si="20"/>
        <v>×</v>
      </c>
      <c r="P18" s="75">
        <v>6</v>
      </c>
      <c r="Q18" s="75" t="str">
        <f t="shared" si="0"/>
        <v>×</v>
      </c>
      <c r="R18" s="75" t="str">
        <f t="shared" si="1"/>
        <v>×</v>
      </c>
      <c r="S18" s="75" t="str">
        <f t="shared" si="2"/>
        <v>×</v>
      </c>
      <c r="T18" s="75" t="str">
        <f t="shared" si="3"/>
        <v>×</v>
      </c>
      <c r="U18" s="75" t="str">
        <f t="shared" si="4"/>
        <v>×</v>
      </c>
      <c r="V18" s="75" t="str">
        <f t="shared" si="5"/>
        <v>×</v>
      </c>
      <c r="W18" s="75" t="str">
        <f t="shared" si="6"/>
        <v>×</v>
      </c>
      <c r="X18" s="75" t="str">
        <f t="shared" si="7"/>
        <v>×</v>
      </c>
      <c r="Y18" s="75" t="str">
        <f t="shared" si="8"/>
        <v>×</v>
      </c>
      <c r="AA18" s="78" t="s">
        <v>26</v>
      </c>
      <c r="AB18" s="33" t="str">
        <f>INDEX($Y$12:$Y$27,X4,1)</f>
        <v>×</v>
      </c>
      <c r="AC18" s="33" t="str">
        <f>INDEX($Y$12:$Y$27,Y4,1)</f>
        <v>×</v>
      </c>
      <c r="AE18" s="78" t="s">
        <v>26</v>
      </c>
      <c r="AF18" s="33" t="str">
        <f>INDEX($W$12:$W$27,X4,1)</f>
        <v>×</v>
      </c>
      <c r="AG18" s="33">
        <f>INDEX($W$12:$W$27,Y4,1)</f>
        <v>1</v>
      </c>
      <c r="AK18" s="78" t="s">
        <v>26</v>
      </c>
      <c r="AL18" s="33" t="str">
        <f t="shared" ref="AL18:AO19" si="24">INDEX($Y$12:$Y$27,V1,1)</f>
        <v>×</v>
      </c>
      <c r="AM18" s="33" t="str">
        <f t="shared" si="24"/>
        <v>×</v>
      </c>
      <c r="AN18" s="33" t="str">
        <f t="shared" si="24"/>
        <v>×</v>
      </c>
      <c r="AO18" s="33" t="str">
        <f t="shared" si="24"/>
        <v>×</v>
      </c>
      <c r="AR18" s="78" t="s">
        <v>26</v>
      </c>
      <c r="AS18" s="33" t="str">
        <f t="shared" ref="AS18:AV19" si="25">INDEX($W$12:$W$27,V1,1)</f>
        <v>×</v>
      </c>
      <c r="AT18" s="33" t="str">
        <f t="shared" si="25"/>
        <v>×</v>
      </c>
      <c r="AU18" s="33" t="str">
        <f t="shared" si="25"/>
        <v>×</v>
      </c>
      <c r="AV18" s="33">
        <f t="shared" si="25"/>
        <v>1</v>
      </c>
      <c r="AY18" s="78" t="s">
        <v>26</v>
      </c>
      <c r="AZ18" s="33" t="str">
        <f t="shared" ref="AZ18:BC19" si="26">INDEX($U$12:$U$27,V1,1)</f>
        <v>×</v>
      </c>
      <c r="BA18" s="33" t="str">
        <f t="shared" si="26"/>
        <v>×</v>
      </c>
      <c r="BB18" s="33" t="str">
        <f t="shared" si="26"/>
        <v>×</v>
      </c>
      <c r="BC18" s="33" t="str">
        <f t="shared" si="26"/>
        <v>×</v>
      </c>
    </row>
    <row r="19" spans="2:55">
      <c r="B19" s="30"/>
      <c r="C19" s="75">
        <f t="shared" si="9"/>
        <v>0</v>
      </c>
      <c r="D19" s="75">
        <f t="shared" si="10"/>
        <v>0</v>
      </c>
      <c r="E19" s="75">
        <f t="shared" si="11"/>
        <v>0</v>
      </c>
      <c r="F19" s="31">
        <f t="shared" si="23"/>
        <v>0</v>
      </c>
      <c r="G19" s="75">
        <f t="shared" si="21"/>
        <v>0</v>
      </c>
      <c r="H19" s="96" t="str">
        <f t="shared" si="15"/>
        <v>×</v>
      </c>
      <c r="I19" s="75">
        <f t="shared" si="16"/>
        <v>0</v>
      </c>
      <c r="J19" s="96" t="str">
        <f t="shared" si="17"/>
        <v>×</v>
      </c>
      <c r="K19" s="75">
        <f t="shared" si="18"/>
        <v>0</v>
      </c>
      <c r="L19" s="96" t="str">
        <f t="shared" si="22"/>
        <v>×</v>
      </c>
      <c r="M19" s="75">
        <f t="shared" si="19"/>
        <v>0</v>
      </c>
      <c r="N19" s="75" t="str">
        <f t="shared" si="20"/>
        <v>×</v>
      </c>
      <c r="P19" s="75">
        <v>7</v>
      </c>
      <c r="Q19" s="75" t="str">
        <f t="shared" si="0"/>
        <v>×</v>
      </c>
      <c r="R19" s="75" t="str">
        <f t="shared" si="1"/>
        <v>×</v>
      </c>
      <c r="S19" s="75" t="str">
        <f t="shared" si="2"/>
        <v>×</v>
      </c>
      <c r="T19" s="75" t="str">
        <f t="shared" si="3"/>
        <v>×</v>
      </c>
      <c r="U19" s="75" t="str">
        <f t="shared" si="4"/>
        <v>×</v>
      </c>
      <c r="V19" s="75" t="str">
        <f t="shared" si="5"/>
        <v>×</v>
      </c>
      <c r="W19" s="75" t="str">
        <f t="shared" si="6"/>
        <v>×</v>
      </c>
      <c r="X19" s="75" t="str">
        <f t="shared" si="7"/>
        <v>×</v>
      </c>
      <c r="Y19" s="75" t="str">
        <f t="shared" si="8"/>
        <v>×</v>
      </c>
      <c r="AA19" s="79" t="s">
        <v>26</v>
      </c>
      <c r="AB19" s="33">
        <f>INDEX($Y$12:$Y$27,X5,1)</f>
        <v>1</v>
      </c>
      <c r="AC19" s="33" t="str">
        <f>INDEX($Y$12:$Y$27,Y5,1)</f>
        <v>×</v>
      </c>
      <c r="AE19" s="79" t="s">
        <v>26</v>
      </c>
      <c r="AF19" s="33" t="str">
        <f>INDEX($W$12:$W$27,X5,1)</f>
        <v>×</v>
      </c>
      <c r="AG19" s="33" t="str">
        <f>INDEX($W$12:$W$27,Y5,1)</f>
        <v>×</v>
      </c>
      <c r="AK19" s="79" t="s">
        <v>26</v>
      </c>
      <c r="AL19" s="33">
        <f t="shared" si="24"/>
        <v>1</v>
      </c>
      <c r="AM19" s="33" t="str">
        <f t="shared" si="24"/>
        <v>×</v>
      </c>
      <c r="AN19" s="33" t="str">
        <f t="shared" si="24"/>
        <v>×</v>
      </c>
      <c r="AO19" s="33" t="str">
        <f t="shared" si="24"/>
        <v>×</v>
      </c>
      <c r="AR19" s="79" t="s">
        <v>26</v>
      </c>
      <c r="AS19" s="33" t="str">
        <f t="shared" si="25"/>
        <v>×</v>
      </c>
      <c r="AT19" s="33" t="str">
        <f t="shared" si="25"/>
        <v>×</v>
      </c>
      <c r="AU19" s="33" t="str">
        <f t="shared" si="25"/>
        <v>×</v>
      </c>
      <c r="AV19" s="33" t="str">
        <f t="shared" si="25"/>
        <v>×</v>
      </c>
      <c r="AY19" s="79" t="s">
        <v>26</v>
      </c>
      <c r="AZ19" s="33" t="str">
        <f t="shared" si="26"/>
        <v>×</v>
      </c>
      <c r="BA19" s="33" t="str">
        <f t="shared" si="26"/>
        <v>×</v>
      </c>
      <c r="BB19" s="33" t="str">
        <f t="shared" si="26"/>
        <v>×</v>
      </c>
      <c r="BC19" s="33" t="str">
        <f t="shared" si="26"/>
        <v>×</v>
      </c>
    </row>
    <row r="20" spans="2:55">
      <c r="B20" s="30"/>
      <c r="C20" s="75">
        <f t="shared" si="9"/>
        <v>0</v>
      </c>
      <c r="D20" s="75">
        <f t="shared" si="10"/>
        <v>0</v>
      </c>
      <c r="E20" s="75">
        <f t="shared" si="11"/>
        <v>0</v>
      </c>
      <c r="F20" s="31">
        <f t="shared" si="23"/>
        <v>0</v>
      </c>
      <c r="G20" s="75">
        <f t="shared" si="21"/>
        <v>0</v>
      </c>
      <c r="H20" s="96" t="str">
        <f t="shared" si="15"/>
        <v>×</v>
      </c>
      <c r="I20" s="75">
        <f t="shared" si="16"/>
        <v>0</v>
      </c>
      <c r="J20" s="96" t="str">
        <f t="shared" si="17"/>
        <v>×</v>
      </c>
      <c r="K20" s="75">
        <f t="shared" si="18"/>
        <v>0</v>
      </c>
      <c r="L20" s="96" t="str">
        <f t="shared" si="22"/>
        <v>×</v>
      </c>
      <c r="M20" s="75">
        <f t="shared" si="19"/>
        <v>0</v>
      </c>
      <c r="N20" s="75" t="str">
        <f t="shared" si="20"/>
        <v>×</v>
      </c>
      <c r="P20" s="75">
        <v>8</v>
      </c>
      <c r="Q20" s="75" t="str">
        <f t="shared" si="0"/>
        <v>×</v>
      </c>
      <c r="R20" s="75" t="str">
        <f t="shared" si="1"/>
        <v>×</v>
      </c>
      <c r="S20" s="75" t="str">
        <f t="shared" si="2"/>
        <v>×</v>
      </c>
      <c r="T20" s="75" t="str">
        <f t="shared" si="3"/>
        <v>×</v>
      </c>
      <c r="U20" s="75" t="str">
        <f t="shared" si="4"/>
        <v>×</v>
      </c>
      <c r="V20" s="75" t="str">
        <f t="shared" si="5"/>
        <v>×</v>
      </c>
      <c r="W20" s="75" t="str">
        <f t="shared" si="6"/>
        <v>×</v>
      </c>
      <c r="X20" s="75" t="str">
        <f t="shared" si="7"/>
        <v>×</v>
      </c>
      <c r="Y20" s="75" t="str">
        <f t="shared" si="8"/>
        <v>×</v>
      </c>
      <c r="AL20" s="38" t="s">
        <v>51</v>
      </c>
      <c r="AM20" s="116" t="s">
        <v>51</v>
      </c>
      <c r="AN20" s="116"/>
      <c r="AO20" s="38" t="s">
        <v>51</v>
      </c>
      <c r="AS20" s="38" t="s">
        <v>51</v>
      </c>
      <c r="AT20" s="116" t="s">
        <v>51</v>
      </c>
      <c r="AU20" s="116"/>
      <c r="AV20" s="38" t="s">
        <v>51</v>
      </c>
      <c r="AZ20" s="38" t="s">
        <v>51</v>
      </c>
      <c r="BA20" s="116" t="s">
        <v>51</v>
      </c>
      <c r="BB20" s="116"/>
      <c r="BC20" s="38" t="s">
        <v>51</v>
      </c>
    </row>
    <row r="21" spans="2:55">
      <c r="B21" s="30"/>
      <c r="C21" s="75">
        <f t="shared" si="9"/>
        <v>0</v>
      </c>
      <c r="D21" s="75">
        <f t="shared" si="10"/>
        <v>0</v>
      </c>
      <c r="E21" s="75">
        <f t="shared" si="11"/>
        <v>0</v>
      </c>
      <c r="F21" s="31">
        <f t="shared" si="23"/>
        <v>0</v>
      </c>
      <c r="G21" s="75">
        <f t="shared" si="21"/>
        <v>0</v>
      </c>
      <c r="H21" s="96" t="str">
        <f t="shared" si="15"/>
        <v>×</v>
      </c>
      <c r="I21" s="75">
        <f t="shared" si="16"/>
        <v>0</v>
      </c>
      <c r="J21" s="96" t="str">
        <f t="shared" si="17"/>
        <v>×</v>
      </c>
      <c r="K21" s="75">
        <f t="shared" si="18"/>
        <v>0</v>
      </c>
      <c r="L21" s="96" t="str">
        <f t="shared" si="22"/>
        <v>×</v>
      </c>
      <c r="M21" s="75">
        <f t="shared" si="19"/>
        <v>0</v>
      </c>
      <c r="N21" s="75" t="str">
        <f t="shared" si="20"/>
        <v>×</v>
      </c>
      <c r="P21" s="75">
        <v>9</v>
      </c>
      <c r="Q21" s="75" t="str">
        <f t="shared" si="0"/>
        <v>×</v>
      </c>
      <c r="R21" s="75" t="str">
        <f t="shared" si="1"/>
        <v>×</v>
      </c>
      <c r="S21" s="75" t="str">
        <f t="shared" si="2"/>
        <v>×</v>
      </c>
      <c r="T21" s="75" t="str">
        <f t="shared" si="3"/>
        <v>×</v>
      </c>
      <c r="U21" s="75" t="str">
        <f t="shared" si="4"/>
        <v>×</v>
      </c>
      <c r="V21" s="75" t="str">
        <f t="shared" si="5"/>
        <v>×</v>
      </c>
      <c r="W21" s="75" t="str">
        <f t="shared" si="6"/>
        <v>×</v>
      </c>
      <c r="X21" s="75" t="str">
        <f t="shared" si="7"/>
        <v>×</v>
      </c>
      <c r="Y21" s="75" t="str">
        <f t="shared" si="8"/>
        <v>×</v>
      </c>
    </row>
    <row r="22" spans="2:55">
      <c r="B22" s="30"/>
      <c r="C22" s="75">
        <f t="shared" si="9"/>
        <v>0</v>
      </c>
      <c r="D22" s="75">
        <f t="shared" si="10"/>
        <v>0</v>
      </c>
      <c r="E22" s="75">
        <f t="shared" si="11"/>
        <v>0</v>
      </c>
      <c r="F22" s="31">
        <f t="shared" si="23"/>
        <v>0</v>
      </c>
      <c r="G22" s="75">
        <f t="shared" si="21"/>
        <v>0</v>
      </c>
      <c r="H22" s="96" t="str">
        <f t="shared" si="15"/>
        <v>×</v>
      </c>
      <c r="I22" s="75">
        <f t="shared" si="16"/>
        <v>0</v>
      </c>
      <c r="J22" s="96" t="str">
        <f t="shared" si="17"/>
        <v>×</v>
      </c>
      <c r="K22" s="75">
        <f t="shared" si="18"/>
        <v>0</v>
      </c>
      <c r="L22" s="96" t="str">
        <f t="shared" si="22"/>
        <v>×</v>
      </c>
      <c r="M22" s="75">
        <f t="shared" si="19"/>
        <v>0</v>
      </c>
      <c r="N22" s="75" t="str">
        <f t="shared" si="20"/>
        <v>×</v>
      </c>
      <c r="P22" s="75">
        <v>10</v>
      </c>
      <c r="Q22" s="75" t="str">
        <f t="shared" si="0"/>
        <v>×</v>
      </c>
      <c r="R22" s="75" t="str">
        <f t="shared" si="1"/>
        <v>×</v>
      </c>
      <c r="S22" s="75" t="str">
        <f t="shared" si="2"/>
        <v>×</v>
      </c>
      <c r="T22" s="75" t="str">
        <f t="shared" si="3"/>
        <v>×</v>
      </c>
      <c r="U22" s="75" t="str">
        <f t="shared" si="4"/>
        <v>×</v>
      </c>
      <c r="V22" s="75" t="str">
        <f t="shared" si="5"/>
        <v>×</v>
      </c>
      <c r="W22" s="75" t="str">
        <f t="shared" si="6"/>
        <v>×</v>
      </c>
      <c r="X22" s="75" t="str">
        <f t="shared" si="7"/>
        <v>×</v>
      </c>
      <c r="Y22" s="75" t="str">
        <f t="shared" si="8"/>
        <v>×</v>
      </c>
    </row>
    <row r="23" spans="2:55">
      <c r="B23" s="30"/>
      <c r="C23" s="75">
        <f t="shared" si="9"/>
        <v>0</v>
      </c>
      <c r="D23" s="75">
        <f t="shared" si="10"/>
        <v>0</v>
      </c>
      <c r="E23" s="75">
        <f t="shared" si="11"/>
        <v>0</v>
      </c>
      <c r="F23" s="31">
        <f t="shared" si="23"/>
        <v>0</v>
      </c>
      <c r="G23" s="75">
        <f t="shared" si="21"/>
        <v>0</v>
      </c>
      <c r="H23" s="96" t="str">
        <f t="shared" si="15"/>
        <v>×</v>
      </c>
      <c r="I23" s="75">
        <f t="shared" si="16"/>
        <v>0</v>
      </c>
      <c r="J23" s="96" t="str">
        <f t="shared" si="17"/>
        <v>×</v>
      </c>
      <c r="K23" s="75">
        <f t="shared" si="18"/>
        <v>0</v>
      </c>
      <c r="L23" s="96" t="str">
        <f t="shared" si="22"/>
        <v>×</v>
      </c>
      <c r="M23" s="75">
        <f t="shared" si="19"/>
        <v>0</v>
      </c>
      <c r="N23" s="75" t="str">
        <f t="shared" si="20"/>
        <v>×</v>
      </c>
      <c r="P23" s="75">
        <v>11</v>
      </c>
      <c r="Q23" s="75" t="str">
        <f t="shared" si="0"/>
        <v>×</v>
      </c>
      <c r="R23" s="75" t="str">
        <f t="shared" si="1"/>
        <v>×</v>
      </c>
      <c r="S23" s="75" t="str">
        <f t="shared" si="2"/>
        <v>×</v>
      </c>
      <c r="T23" s="75" t="str">
        <f t="shared" si="3"/>
        <v>×</v>
      </c>
      <c r="U23" s="75" t="str">
        <f t="shared" si="4"/>
        <v>×</v>
      </c>
      <c r="V23" s="75" t="str">
        <f t="shared" si="5"/>
        <v>×</v>
      </c>
      <c r="W23" s="75" t="str">
        <f t="shared" si="6"/>
        <v>×</v>
      </c>
      <c r="X23" s="75" t="str">
        <f t="shared" si="7"/>
        <v>×</v>
      </c>
      <c r="Y23" s="75" t="str">
        <f t="shared" si="8"/>
        <v>×</v>
      </c>
      <c r="AA23" s="29"/>
    </row>
    <row r="24" spans="2:55">
      <c r="B24" s="30"/>
      <c r="C24" s="75">
        <f t="shared" si="9"/>
        <v>0</v>
      </c>
      <c r="D24" s="75">
        <f t="shared" si="10"/>
        <v>0</v>
      </c>
      <c r="E24" s="75">
        <f t="shared" si="11"/>
        <v>0</v>
      </c>
      <c r="F24" s="31">
        <f t="shared" si="23"/>
        <v>0</v>
      </c>
      <c r="G24" s="75">
        <f t="shared" si="21"/>
        <v>0</v>
      </c>
      <c r="H24" s="96" t="str">
        <f t="shared" si="15"/>
        <v>×</v>
      </c>
      <c r="I24" s="75">
        <f t="shared" si="16"/>
        <v>0</v>
      </c>
      <c r="J24" s="96" t="str">
        <f t="shared" si="17"/>
        <v>×</v>
      </c>
      <c r="K24" s="75">
        <f t="shared" si="18"/>
        <v>0</v>
      </c>
      <c r="L24" s="96" t="str">
        <f t="shared" si="22"/>
        <v>×</v>
      </c>
      <c r="M24" s="75">
        <f t="shared" si="19"/>
        <v>0</v>
      </c>
      <c r="N24" s="75" t="str">
        <f t="shared" si="20"/>
        <v>×</v>
      </c>
      <c r="P24" s="75">
        <v>12</v>
      </c>
      <c r="Q24" s="75" t="str">
        <f t="shared" si="0"/>
        <v>×</v>
      </c>
      <c r="R24" s="75" t="str">
        <f t="shared" si="1"/>
        <v>×</v>
      </c>
      <c r="S24" s="75" t="str">
        <f t="shared" si="2"/>
        <v>×</v>
      </c>
      <c r="T24" s="75" t="str">
        <f t="shared" si="3"/>
        <v>×</v>
      </c>
      <c r="U24" s="75" t="str">
        <f t="shared" si="4"/>
        <v>×</v>
      </c>
      <c r="V24" s="75" t="str">
        <f t="shared" si="5"/>
        <v>×</v>
      </c>
      <c r="W24" s="75" t="str">
        <f t="shared" si="6"/>
        <v>×</v>
      </c>
      <c r="X24" s="75" t="str">
        <f t="shared" si="7"/>
        <v>×</v>
      </c>
      <c r="Y24" s="75" t="str">
        <f t="shared" si="8"/>
        <v>×</v>
      </c>
      <c r="AA24" s="75"/>
    </row>
    <row r="25" spans="2:55">
      <c r="B25" s="30"/>
      <c r="C25" s="75">
        <f t="shared" si="9"/>
        <v>0</v>
      </c>
      <c r="D25" s="75">
        <f t="shared" si="10"/>
        <v>0</v>
      </c>
      <c r="E25" s="75">
        <f t="shared" si="11"/>
        <v>0</v>
      </c>
      <c r="F25" s="31">
        <f t="shared" si="23"/>
        <v>0</v>
      </c>
      <c r="G25" s="75">
        <f t="shared" si="21"/>
        <v>0</v>
      </c>
      <c r="H25" s="96" t="str">
        <f t="shared" si="15"/>
        <v>×</v>
      </c>
      <c r="I25" s="75">
        <f t="shared" si="16"/>
        <v>0</v>
      </c>
      <c r="J25" s="96" t="str">
        <f t="shared" si="17"/>
        <v>×</v>
      </c>
      <c r="K25" s="75">
        <f t="shared" si="18"/>
        <v>0</v>
      </c>
      <c r="L25" s="96" t="str">
        <f t="shared" si="22"/>
        <v>×</v>
      </c>
      <c r="M25" s="75">
        <f t="shared" si="19"/>
        <v>0</v>
      </c>
      <c r="N25" s="75" t="str">
        <f t="shared" si="20"/>
        <v>×</v>
      </c>
      <c r="P25" s="75">
        <v>13</v>
      </c>
      <c r="Q25" s="75" t="str">
        <f t="shared" si="0"/>
        <v>×</v>
      </c>
      <c r="R25" s="75" t="str">
        <f t="shared" si="1"/>
        <v>×</v>
      </c>
      <c r="S25" s="75" t="str">
        <f t="shared" si="2"/>
        <v>×</v>
      </c>
      <c r="T25" s="75" t="str">
        <f t="shared" si="3"/>
        <v>×</v>
      </c>
      <c r="U25" s="75" t="str">
        <f t="shared" si="4"/>
        <v>×</v>
      </c>
      <c r="V25" s="75" t="str">
        <f t="shared" si="5"/>
        <v>×</v>
      </c>
      <c r="W25" s="75" t="str">
        <f t="shared" si="6"/>
        <v>×</v>
      </c>
      <c r="X25" s="75" t="str">
        <f t="shared" si="7"/>
        <v>×</v>
      </c>
      <c r="Y25" s="75" t="str">
        <f t="shared" si="8"/>
        <v>×</v>
      </c>
      <c r="AB25" s="32" t="s">
        <v>59</v>
      </c>
      <c r="AC25" s="114" t="s">
        <v>50</v>
      </c>
      <c r="AD25" s="114"/>
      <c r="AE25" s="115" t="s">
        <v>50</v>
      </c>
      <c r="AF25" s="115"/>
      <c r="AG25" s="75"/>
      <c r="AI25" s="32" t="s">
        <v>60</v>
      </c>
      <c r="AJ25" s="114" t="s">
        <v>50</v>
      </c>
      <c r="AK25" s="114"/>
      <c r="AL25" s="115" t="s">
        <v>50</v>
      </c>
      <c r="AM25" s="115"/>
      <c r="AN25" s="75"/>
      <c r="AO25" s="75"/>
      <c r="AP25" s="32" t="s">
        <v>63</v>
      </c>
      <c r="AQ25" s="114" t="s">
        <v>50</v>
      </c>
      <c r="AR25" s="114"/>
      <c r="AS25" s="115" t="s">
        <v>50</v>
      </c>
      <c r="AT25" s="115"/>
      <c r="AU25" s="75"/>
      <c r="AV25" s="75"/>
      <c r="AW25" s="32" t="s">
        <v>67</v>
      </c>
      <c r="AX25" s="114" t="s">
        <v>50</v>
      </c>
      <c r="AY25" s="114"/>
      <c r="AZ25" s="115" t="s">
        <v>50</v>
      </c>
      <c r="BA25" s="115"/>
      <c r="BB25" s="75"/>
    </row>
    <row r="26" spans="2:55">
      <c r="B26" s="30"/>
      <c r="C26" s="75">
        <f t="shared" si="9"/>
        <v>0</v>
      </c>
      <c r="D26" s="75">
        <f t="shared" si="10"/>
        <v>0</v>
      </c>
      <c r="E26" s="75">
        <f t="shared" si="11"/>
        <v>0</v>
      </c>
      <c r="F26" s="31">
        <f t="shared" si="23"/>
        <v>0</v>
      </c>
      <c r="G26" s="75">
        <f t="shared" si="21"/>
        <v>0</v>
      </c>
      <c r="H26" s="96" t="str">
        <f t="shared" si="15"/>
        <v>×</v>
      </c>
      <c r="I26" s="75">
        <f t="shared" si="16"/>
        <v>0</v>
      </c>
      <c r="J26" s="96" t="str">
        <f t="shared" si="17"/>
        <v>×</v>
      </c>
      <c r="K26" s="75">
        <f t="shared" si="18"/>
        <v>0</v>
      </c>
      <c r="L26" s="96" t="str">
        <f t="shared" si="22"/>
        <v>×</v>
      </c>
      <c r="M26" s="75">
        <f t="shared" si="19"/>
        <v>0</v>
      </c>
      <c r="N26" s="75" t="str">
        <f t="shared" si="20"/>
        <v>×</v>
      </c>
      <c r="P26" s="75">
        <v>14</v>
      </c>
      <c r="Q26" s="75" t="str">
        <f t="shared" si="0"/>
        <v>×</v>
      </c>
      <c r="R26" s="75" t="str">
        <f t="shared" si="1"/>
        <v>×</v>
      </c>
      <c r="S26" s="75" t="str">
        <f t="shared" si="2"/>
        <v>×</v>
      </c>
      <c r="T26" s="75" t="str">
        <f t="shared" si="3"/>
        <v>×</v>
      </c>
      <c r="U26" s="75" t="str">
        <f t="shared" si="4"/>
        <v>×</v>
      </c>
      <c r="V26" s="75" t="str">
        <f t="shared" si="5"/>
        <v>×</v>
      </c>
      <c r="W26" s="75" t="str">
        <f t="shared" si="6"/>
        <v>×</v>
      </c>
      <c r="X26" s="75" t="str">
        <f t="shared" si="7"/>
        <v>×</v>
      </c>
      <c r="Y26" s="75" t="str">
        <f t="shared" si="8"/>
        <v>×</v>
      </c>
      <c r="AB26" s="119" t="s">
        <v>51</v>
      </c>
      <c r="AC26" s="33" t="str">
        <f>INDEX($X$12:$X$27,P1,1)</f>
        <v>×</v>
      </c>
      <c r="AD26" s="33" t="str">
        <f>INDEX($X$12:$X$27,Q1,1)</f>
        <v>×</v>
      </c>
      <c r="AE26" s="33" t="str">
        <f>INDEX($X$12:$X$27,R1,1)</f>
        <v>×</v>
      </c>
      <c r="AF26" s="33" t="str">
        <f>INDEX($X$12:$X$27,S1,1)</f>
        <v>×</v>
      </c>
      <c r="AG26" s="34" t="s">
        <v>52</v>
      </c>
      <c r="AI26" s="119" t="s">
        <v>51</v>
      </c>
      <c r="AJ26" s="33" t="str">
        <f>INDEX($V$12:$V$27,P1,1)</f>
        <v>×</v>
      </c>
      <c r="AK26" s="33" t="str">
        <f t="shared" ref="AK26:AM29" si="27">INDEX($V$12:$V$27,Q1,1)</f>
        <v>×</v>
      </c>
      <c r="AL26" s="33" t="str">
        <f t="shared" si="27"/>
        <v>×</v>
      </c>
      <c r="AM26" s="33" t="str">
        <f t="shared" si="27"/>
        <v>×</v>
      </c>
      <c r="AN26" s="34" t="s">
        <v>52</v>
      </c>
      <c r="AO26" s="34"/>
      <c r="AP26" s="119" t="s">
        <v>51</v>
      </c>
      <c r="AQ26" s="33" t="str">
        <f>INDEX($T$12:$T$27,P1,1)</f>
        <v>×</v>
      </c>
      <c r="AR26" s="33" t="str">
        <f>INDEX($T$12:$T$27,Q1,1)</f>
        <v>×</v>
      </c>
      <c r="AS26" s="33" t="str">
        <f>INDEX($T$12:$T$27,R1,1)</f>
        <v>×</v>
      </c>
      <c r="AT26" s="33" t="str">
        <f>INDEX($T$12:$T$27,S1,1)</f>
        <v>×</v>
      </c>
      <c r="AU26" s="34" t="s">
        <v>52</v>
      </c>
      <c r="AV26" s="34"/>
      <c r="AW26" s="119" t="s">
        <v>51</v>
      </c>
      <c r="AX26" s="33" t="str">
        <f>INDEX($R$12:$R$27,P1,1)</f>
        <v>×</v>
      </c>
      <c r="AY26" s="33" t="str">
        <f t="shared" ref="AY26:BA29" si="28">INDEX($R$12:$R$27,Q1,1)</f>
        <v>×</v>
      </c>
      <c r="AZ26" s="33" t="str">
        <f t="shared" si="28"/>
        <v>×</v>
      </c>
      <c r="BA26" s="33" t="str">
        <f t="shared" si="28"/>
        <v>×</v>
      </c>
      <c r="BB26" s="34" t="s">
        <v>52</v>
      </c>
    </row>
    <row r="27" spans="2:55">
      <c r="B27" s="30">
        <v>0</v>
      </c>
      <c r="C27" s="75">
        <f t="shared" si="9"/>
        <v>0</v>
      </c>
      <c r="D27" s="75">
        <f>IF(MOD(B27,8)&gt;3,1,0)</f>
        <v>0</v>
      </c>
      <c r="E27" s="75">
        <f t="shared" si="11"/>
        <v>0</v>
      </c>
      <c r="F27" s="31">
        <f t="shared" si="23"/>
        <v>0</v>
      </c>
      <c r="G27" s="75">
        <f>IF(C27=1,"×",IF(C12=1,1,0))</f>
        <v>0</v>
      </c>
      <c r="H27" s="96" t="str">
        <f>IF(C27=0,"×",IF(C12=0,1,0))</f>
        <v>×</v>
      </c>
      <c r="I27" s="75">
        <f>IF(D27=1,"×",IF(D12=1,1,0))</f>
        <v>0</v>
      </c>
      <c r="J27" s="96" t="str">
        <f>IF(D27=0,"×",IF(D12=0,1,0))</f>
        <v>×</v>
      </c>
      <c r="K27" s="75">
        <f>IF(E27=1,"×",IF(E12=1,1,0))</f>
        <v>0</v>
      </c>
      <c r="L27" s="96" t="str">
        <f>IF(E27=0,"×",IF(E12=0,1,0))</f>
        <v>×</v>
      </c>
      <c r="M27" s="75">
        <f>IF(F27=1,"×",IF(F12=1,1,0))</f>
        <v>0</v>
      </c>
      <c r="N27" s="75" t="str">
        <f>IF(F27=0,"×",IF(F12=0,1,0))</f>
        <v>×</v>
      </c>
      <c r="P27" s="75">
        <v>15</v>
      </c>
      <c r="Q27" s="75" t="str">
        <f t="shared" si="0"/>
        <v>×</v>
      </c>
      <c r="R27" s="75" t="str">
        <f t="shared" si="1"/>
        <v>×</v>
      </c>
      <c r="S27" s="75" t="str">
        <f t="shared" si="2"/>
        <v>×</v>
      </c>
      <c r="T27" s="75" t="str">
        <f t="shared" si="3"/>
        <v>×</v>
      </c>
      <c r="U27" s="75" t="str">
        <f t="shared" si="4"/>
        <v>×</v>
      </c>
      <c r="V27" s="75" t="str">
        <f t="shared" si="5"/>
        <v>×</v>
      </c>
      <c r="W27" s="75" t="str">
        <f t="shared" si="6"/>
        <v>×</v>
      </c>
      <c r="X27" s="75" t="str">
        <f t="shared" si="7"/>
        <v>×</v>
      </c>
      <c r="Y27" s="75" t="str">
        <f t="shared" si="8"/>
        <v>×</v>
      </c>
      <c r="AB27" s="119"/>
      <c r="AC27" s="33" t="str">
        <f t="shared" ref="AC27:AC29" si="29">INDEX($X$12:$X$27,P2,1)</f>
        <v>×</v>
      </c>
      <c r="AD27" s="33" t="str">
        <f t="shared" ref="AD27:AF29" si="30">INDEX($X$12:$X$27,Q2,1)</f>
        <v>×</v>
      </c>
      <c r="AE27" s="33" t="str">
        <f t="shared" si="30"/>
        <v>×</v>
      </c>
      <c r="AF27" s="33" t="str">
        <f t="shared" si="30"/>
        <v>×</v>
      </c>
      <c r="AG27" s="117" t="s">
        <v>52</v>
      </c>
      <c r="AI27" s="119"/>
      <c r="AJ27" s="33" t="str">
        <f t="shared" ref="AJ27:AJ29" si="31">INDEX($V$12:$V$27,P2,1)</f>
        <v>×</v>
      </c>
      <c r="AK27" s="33" t="str">
        <f t="shared" si="27"/>
        <v>×</v>
      </c>
      <c r="AL27" s="33" t="str">
        <f t="shared" si="27"/>
        <v>×</v>
      </c>
      <c r="AM27" s="33" t="str">
        <f t="shared" si="27"/>
        <v>×</v>
      </c>
      <c r="AN27" s="117" t="s">
        <v>52</v>
      </c>
      <c r="AO27" s="29"/>
      <c r="AP27" s="119"/>
      <c r="AQ27" s="33" t="str">
        <f t="shared" ref="AQ27:AQ29" si="32">INDEX($T$12:$T$27,P2,1)</f>
        <v>×</v>
      </c>
      <c r="AR27" s="33" t="str">
        <f t="shared" ref="AR27:AT29" si="33">INDEX($T$12:$T$27,Q2,1)</f>
        <v>×</v>
      </c>
      <c r="AS27" s="33" t="str">
        <f t="shared" si="33"/>
        <v>×</v>
      </c>
      <c r="AT27" s="33" t="str">
        <f t="shared" si="33"/>
        <v>×</v>
      </c>
      <c r="AU27" s="117" t="s">
        <v>52</v>
      </c>
      <c r="AV27" s="29"/>
      <c r="AW27" s="119"/>
      <c r="AX27" s="33" t="str">
        <f t="shared" ref="AX27:AX29" si="34">INDEX($R$12:$R$27,P2,1)</f>
        <v>×</v>
      </c>
      <c r="AY27" s="33" t="str">
        <f t="shared" si="28"/>
        <v>×</v>
      </c>
      <c r="AZ27" s="33" t="str">
        <f t="shared" si="28"/>
        <v>×</v>
      </c>
      <c r="BA27" s="33" t="str">
        <f t="shared" si="28"/>
        <v>×</v>
      </c>
      <c r="BB27" s="117" t="s">
        <v>52</v>
      </c>
    </row>
    <row r="28" spans="2:55">
      <c r="C28" s="75"/>
      <c r="D28" s="75"/>
      <c r="E28" s="75"/>
      <c r="F28" s="75"/>
      <c r="AB28" s="118" t="s">
        <v>51</v>
      </c>
      <c r="AC28" s="33" t="str">
        <f t="shared" si="29"/>
        <v>×</v>
      </c>
      <c r="AD28" s="33" t="str">
        <f t="shared" si="30"/>
        <v>×</v>
      </c>
      <c r="AE28" s="33" t="str">
        <f t="shared" si="30"/>
        <v>×</v>
      </c>
      <c r="AF28" s="33" t="str">
        <f t="shared" si="30"/>
        <v>×</v>
      </c>
      <c r="AG28" s="117"/>
      <c r="AI28" s="118" t="s">
        <v>51</v>
      </c>
      <c r="AJ28" s="33" t="str">
        <f t="shared" si="31"/>
        <v>×</v>
      </c>
      <c r="AK28" s="33" t="str">
        <f t="shared" si="27"/>
        <v>×</v>
      </c>
      <c r="AL28" s="33" t="str">
        <f t="shared" si="27"/>
        <v>×</v>
      </c>
      <c r="AM28" s="33">
        <f t="shared" si="27"/>
        <v>1</v>
      </c>
      <c r="AN28" s="117"/>
      <c r="AO28" s="29"/>
      <c r="AP28" s="118" t="s">
        <v>51</v>
      </c>
      <c r="AQ28" s="33" t="str">
        <f t="shared" si="32"/>
        <v>×</v>
      </c>
      <c r="AR28" s="33" t="str">
        <f t="shared" si="33"/>
        <v>×</v>
      </c>
      <c r="AS28" s="33" t="str">
        <f t="shared" si="33"/>
        <v>×</v>
      </c>
      <c r="AT28" s="33">
        <f t="shared" si="33"/>
        <v>0</v>
      </c>
      <c r="AU28" s="117"/>
      <c r="AV28" s="29"/>
      <c r="AW28" s="118" t="s">
        <v>51</v>
      </c>
      <c r="AX28" s="33" t="str">
        <f t="shared" si="34"/>
        <v>×</v>
      </c>
      <c r="AY28" s="33" t="str">
        <f t="shared" si="28"/>
        <v>×</v>
      </c>
      <c r="AZ28" s="33" t="str">
        <f t="shared" si="28"/>
        <v>×</v>
      </c>
      <c r="BA28" s="33">
        <f t="shared" si="28"/>
        <v>0</v>
      </c>
      <c r="BB28" s="117"/>
    </row>
    <row r="29" spans="2:55">
      <c r="AB29" s="118"/>
      <c r="AC29" s="33" t="str">
        <f t="shared" si="29"/>
        <v>×</v>
      </c>
      <c r="AD29" s="33" t="str">
        <f t="shared" si="30"/>
        <v>×</v>
      </c>
      <c r="AE29" s="33">
        <f t="shared" si="30"/>
        <v>0</v>
      </c>
      <c r="AF29" s="33">
        <f t="shared" si="30"/>
        <v>1</v>
      </c>
      <c r="AG29" s="34" t="s">
        <v>52</v>
      </c>
      <c r="AI29" s="118"/>
      <c r="AJ29" s="33" t="str">
        <f t="shared" si="31"/>
        <v>×</v>
      </c>
      <c r="AK29" s="33" t="str">
        <f t="shared" si="27"/>
        <v>×</v>
      </c>
      <c r="AL29" s="33" t="str">
        <f t="shared" si="27"/>
        <v>×</v>
      </c>
      <c r="AM29" s="33">
        <f t="shared" si="27"/>
        <v>0</v>
      </c>
      <c r="AN29" s="34" t="s">
        <v>52</v>
      </c>
      <c r="AO29" s="34"/>
      <c r="AP29" s="118"/>
      <c r="AQ29" s="33" t="str">
        <f t="shared" si="32"/>
        <v>×</v>
      </c>
      <c r="AR29" s="33" t="str">
        <f t="shared" si="33"/>
        <v>×</v>
      </c>
      <c r="AS29" s="33">
        <f t="shared" si="33"/>
        <v>0</v>
      </c>
      <c r="AT29" s="33">
        <f t="shared" si="33"/>
        <v>0</v>
      </c>
      <c r="AU29" s="34" t="s">
        <v>52</v>
      </c>
      <c r="AV29" s="34"/>
      <c r="AW29" s="118"/>
      <c r="AX29" s="33" t="str">
        <f t="shared" si="34"/>
        <v>×</v>
      </c>
      <c r="AY29" s="33" t="str">
        <f t="shared" si="28"/>
        <v>×</v>
      </c>
      <c r="AZ29" s="33">
        <f t="shared" si="28"/>
        <v>0</v>
      </c>
      <c r="BA29" s="33">
        <f t="shared" si="28"/>
        <v>0</v>
      </c>
      <c r="BB29" s="34" t="s">
        <v>52</v>
      </c>
    </row>
    <row r="30" spans="2:55">
      <c r="AB30" s="75"/>
      <c r="AC30" s="34" t="s">
        <v>26</v>
      </c>
      <c r="AD30" s="116" t="s">
        <v>26</v>
      </c>
      <c r="AE30" s="116"/>
      <c r="AF30" s="34" t="s">
        <v>26</v>
      </c>
      <c r="AG30" s="75"/>
      <c r="AI30" s="75"/>
      <c r="AJ30" s="34" t="s">
        <v>26</v>
      </c>
      <c r="AK30" s="116" t="s">
        <v>26</v>
      </c>
      <c r="AL30" s="116"/>
      <c r="AM30" s="34" t="s">
        <v>26</v>
      </c>
      <c r="AN30" s="75"/>
      <c r="AO30" s="75"/>
      <c r="AP30" s="75"/>
      <c r="AQ30" s="34" t="s">
        <v>26</v>
      </c>
      <c r="AR30" s="116" t="s">
        <v>26</v>
      </c>
      <c r="AS30" s="116"/>
      <c r="AT30" s="34" t="s">
        <v>26</v>
      </c>
      <c r="AU30" s="75"/>
      <c r="AV30" s="75"/>
      <c r="AW30" s="75"/>
      <c r="AX30" s="34" t="s">
        <v>26</v>
      </c>
      <c r="AY30" s="116" t="s">
        <v>26</v>
      </c>
      <c r="AZ30" s="116"/>
      <c r="BA30" s="34" t="s">
        <v>26</v>
      </c>
      <c r="BB30" s="75"/>
    </row>
    <row r="32" spans="2:55">
      <c r="AB32" s="32" t="s">
        <v>61</v>
      </c>
      <c r="AC32" s="114" t="s">
        <v>50</v>
      </c>
      <c r="AD32" s="114"/>
      <c r="AE32" s="115" t="s">
        <v>50</v>
      </c>
      <c r="AF32" s="115"/>
      <c r="AG32" s="75"/>
      <c r="AI32" s="32" t="s">
        <v>62</v>
      </c>
      <c r="AJ32" s="114" t="s">
        <v>50</v>
      </c>
      <c r="AK32" s="114"/>
      <c r="AL32" s="115" t="s">
        <v>50</v>
      </c>
      <c r="AM32" s="115"/>
      <c r="AN32" s="75"/>
      <c r="AO32" s="75"/>
      <c r="AP32" s="32" t="s">
        <v>64</v>
      </c>
      <c r="AQ32" s="114" t="s">
        <v>50</v>
      </c>
      <c r="AR32" s="114"/>
      <c r="AS32" s="115" t="s">
        <v>50</v>
      </c>
      <c r="AT32" s="115"/>
      <c r="AU32" s="75"/>
      <c r="AV32" s="75"/>
      <c r="AW32" s="32" t="s">
        <v>66</v>
      </c>
      <c r="AX32" s="114" t="s">
        <v>50</v>
      </c>
      <c r="AY32" s="114"/>
      <c r="AZ32" s="115" t="s">
        <v>50</v>
      </c>
      <c r="BA32" s="115"/>
      <c r="BB32" s="75"/>
    </row>
    <row r="33" spans="27:54">
      <c r="AB33" s="119" t="s">
        <v>51</v>
      </c>
      <c r="AC33" s="33" t="str">
        <f>INDEX($Y$12:$Y$27,P1,1)</f>
        <v>×</v>
      </c>
      <c r="AD33" s="33" t="str">
        <f t="shared" ref="AD33:AF36" si="35">INDEX($Y$12:$Y$27,Q1,1)</f>
        <v>×</v>
      </c>
      <c r="AE33" s="33" t="str">
        <f t="shared" si="35"/>
        <v>×</v>
      </c>
      <c r="AF33" s="33" t="str">
        <f t="shared" si="35"/>
        <v>×</v>
      </c>
      <c r="AG33" s="34" t="s">
        <v>52</v>
      </c>
      <c r="AI33" s="119" t="s">
        <v>51</v>
      </c>
      <c r="AJ33" s="33" t="str">
        <f>INDEX($W$12:$W$27,P1,1)</f>
        <v>×</v>
      </c>
      <c r="AK33" s="33" t="str">
        <f t="shared" ref="AK33:AM33" si="36">INDEX($W$12:$W$27,Q1,1)</f>
        <v>×</v>
      </c>
      <c r="AL33" s="33" t="str">
        <f t="shared" si="36"/>
        <v>×</v>
      </c>
      <c r="AM33" s="33" t="str">
        <f t="shared" si="36"/>
        <v>×</v>
      </c>
      <c r="AN33" s="34" t="s">
        <v>52</v>
      </c>
      <c r="AO33" s="34"/>
      <c r="AP33" s="119" t="s">
        <v>51</v>
      </c>
      <c r="AQ33" s="33" t="str">
        <f>INDEX($U$12:$U$27,P1,1)</f>
        <v>×</v>
      </c>
      <c r="AR33" s="33" t="str">
        <f t="shared" ref="AR33:AT33" si="37">INDEX($U$12:$U$27,Q1,1)</f>
        <v>×</v>
      </c>
      <c r="AS33" s="33" t="str">
        <f t="shared" si="37"/>
        <v>×</v>
      </c>
      <c r="AT33" s="33" t="str">
        <f t="shared" si="37"/>
        <v>×</v>
      </c>
      <c r="AU33" s="34" t="s">
        <v>52</v>
      </c>
      <c r="AV33" s="34"/>
      <c r="AW33" s="119" t="s">
        <v>51</v>
      </c>
      <c r="AX33" s="33" t="str">
        <f>INDEX($S$12:$S$27,P1,1)</f>
        <v>×</v>
      </c>
      <c r="AY33" s="33" t="str">
        <f t="shared" ref="AY33:BA33" si="38">INDEX($S$12:$S$27,Q1,1)</f>
        <v>×</v>
      </c>
      <c r="AZ33" s="33" t="str">
        <f t="shared" si="38"/>
        <v>×</v>
      </c>
      <c r="BA33" s="33" t="str">
        <f t="shared" si="38"/>
        <v>×</v>
      </c>
      <c r="BB33" s="34" t="s">
        <v>52</v>
      </c>
    </row>
    <row r="34" spans="27:54">
      <c r="AB34" s="119"/>
      <c r="AC34" s="33" t="str">
        <f t="shared" ref="AC34:AC36" si="39">INDEX($Y$12:$Y$27,P2,1)</f>
        <v>×</v>
      </c>
      <c r="AD34" s="33" t="str">
        <f t="shared" si="35"/>
        <v>×</v>
      </c>
      <c r="AE34" s="33" t="str">
        <f t="shared" si="35"/>
        <v>×</v>
      </c>
      <c r="AF34" s="33" t="str">
        <f t="shared" si="35"/>
        <v>×</v>
      </c>
      <c r="AG34" s="117" t="s">
        <v>52</v>
      </c>
      <c r="AI34" s="119"/>
      <c r="AJ34" s="33" t="str">
        <f t="shared" ref="AJ34:AJ36" si="40">INDEX($W$12:$W$27,P2,1)</f>
        <v>×</v>
      </c>
      <c r="AK34" s="33" t="str">
        <f t="shared" ref="AK34:AK36" si="41">INDEX($W$12:$W$27,Q2,1)</f>
        <v>×</v>
      </c>
      <c r="AL34" s="33" t="str">
        <f t="shared" ref="AL34:AL36" si="42">INDEX($W$12:$W$27,R2,1)</f>
        <v>×</v>
      </c>
      <c r="AM34" s="33" t="str">
        <f t="shared" ref="AM34:AM36" si="43">INDEX($W$12:$W$27,S2,1)</f>
        <v>×</v>
      </c>
      <c r="AN34" s="117" t="s">
        <v>52</v>
      </c>
      <c r="AO34" s="29"/>
      <c r="AP34" s="119"/>
      <c r="AQ34" s="33" t="str">
        <f t="shared" ref="AQ34:AQ36" si="44">INDEX($U$12:$U$27,P2,1)</f>
        <v>×</v>
      </c>
      <c r="AR34" s="33" t="str">
        <f t="shared" ref="AR34:AR36" si="45">INDEX($U$12:$U$27,Q2,1)</f>
        <v>×</v>
      </c>
      <c r="AS34" s="33" t="str">
        <f t="shared" ref="AS34:AS36" si="46">INDEX($U$12:$U$27,R2,1)</f>
        <v>×</v>
      </c>
      <c r="AT34" s="33" t="str">
        <f t="shared" ref="AT34:AT36" si="47">INDEX($U$12:$U$27,S2,1)</f>
        <v>×</v>
      </c>
      <c r="AU34" s="117" t="s">
        <v>52</v>
      </c>
      <c r="AV34" s="29"/>
      <c r="AW34" s="119"/>
      <c r="AX34" s="33" t="str">
        <f t="shared" ref="AX34:AX36" si="48">INDEX($S$12:$S$27,P2,1)</f>
        <v>×</v>
      </c>
      <c r="AY34" s="33" t="str">
        <f t="shared" ref="AY34:AY36" si="49">INDEX($S$12:$S$27,Q2,1)</f>
        <v>×</v>
      </c>
      <c r="AZ34" s="33" t="str">
        <f t="shared" ref="AZ34:AZ36" si="50">INDEX($S$12:$S$27,R2,1)</f>
        <v>×</v>
      </c>
      <c r="BA34" s="33" t="str">
        <f t="shared" ref="BA34:BA36" si="51">INDEX($S$12:$S$27,S2,1)</f>
        <v>×</v>
      </c>
      <c r="BB34" s="117" t="s">
        <v>52</v>
      </c>
    </row>
    <row r="35" spans="27:54">
      <c r="AB35" s="118" t="s">
        <v>51</v>
      </c>
      <c r="AC35" s="33" t="str">
        <f t="shared" si="39"/>
        <v>×</v>
      </c>
      <c r="AD35" s="33" t="str">
        <f t="shared" si="35"/>
        <v>×</v>
      </c>
      <c r="AE35" s="33" t="str">
        <f t="shared" si="35"/>
        <v>×</v>
      </c>
      <c r="AF35" s="33">
        <f t="shared" si="35"/>
        <v>1</v>
      </c>
      <c r="AG35" s="117"/>
      <c r="AI35" s="118" t="s">
        <v>51</v>
      </c>
      <c r="AJ35" s="33" t="str">
        <f t="shared" si="40"/>
        <v>×</v>
      </c>
      <c r="AK35" s="33" t="str">
        <f t="shared" si="41"/>
        <v>×</v>
      </c>
      <c r="AL35" s="33" t="str">
        <f t="shared" si="42"/>
        <v>×</v>
      </c>
      <c r="AM35" s="33" t="str">
        <f t="shared" si="43"/>
        <v>×</v>
      </c>
      <c r="AN35" s="117"/>
      <c r="AO35" s="29"/>
      <c r="AP35" s="118" t="s">
        <v>51</v>
      </c>
      <c r="AQ35" s="33" t="str">
        <f t="shared" si="44"/>
        <v>×</v>
      </c>
      <c r="AR35" s="33" t="str">
        <f t="shared" si="45"/>
        <v>×</v>
      </c>
      <c r="AS35" s="33" t="str">
        <f t="shared" si="46"/>
        <v>×</v>
      </c>
      <c r="AT35" s="33" t="str">
        <f t="shared" si="47"/>
        <v>×</v>
      </c>
      <c r="AU35" s="117"/>
      <c r="AV35" s="29"/>
      <c r="AW35" s="118" t="s">
        <v>51</v>
      </c>
      <c r="AX35" s="33" t="str">
        <f t="shared" si="48"/>
        <v>×</v>
      </c>
      <c r="AY35" s="33" t="str">
        <f t="shared" si="49"/>
        <v>×</v>
      </c>
      <c r="AZ35" s="33" t="str">
        <f t="shared" si="50"/>
        <v>×</v>
      </c>
      <c r="BA35" s="33" t="str">
        <f t="shared" si="51"/>
        <v>×</v>
      </c>
      <c r="BB35" s="117"/>
    </row>
    <row r="36" spans="27:54">
      <c r="AB36" s="118"/>
      <c r="AC36" s="33" t="str">
        <f t="shared" si="39"/>
        <v>×</v>
      </c>
      <c r="AD36" s="33" t="str">
        <f t="shared" si="35"/>
        <v>×</v>
      </c>
      <c r="AE36" s="33" t="str">
        <f t="shared" si="35"/>
        <v>×</v>
      </c>
      <c r="AF36" s="33" t="str">
        <f t="shared" si="35"/>
        <v>×</v>
      </c>
      <c r="AG36" s="34" t="s">
        <v>52</v>
      </c>
      <c r="AI36" s="118"/>
      <c r="AJ36" s="33" t="str">
        <f t="shared" si="40"/>
        <v>×</v>
      </c>
      <c r="AK36" s="33" t="str">
        <f t="shared" si="41"/>
        <v>×</v>
      </c>
      <c r="AL36" s="33">
        <f t="shared" si="42"/>
        <v>1</v>
      </c>
      <c r="AM36" s="33" t="str">
        <f t="shared" si="43"/>
        <v>×</v>
      </c>
      <c r="AN36" s="34" t="s">
        <v>52</v>
      </c>
      <c r="AO36" s="34"/>
      <c r="AP36" s="118"/>
      <c r="AQ36" s="33" t="str">
        <f t="shared" si="44"/>
        <v>×</v>
      </c>
      <c r="AR36" s="33" t="str">
        <f t="shared" si="45"/>
        <v>×</v>
      </c>
      <c r="AS36" s="33" t="str">
        <f t="shared" si="46"/>
        <v>×</v>
      </c>
      <c r="AT36" s="33" t="str">
        <f t="shared" si="47"/>
        <v>×</v>
      </c>
      <c r="AU36" s="34" t="s">
        <v>52</v>
      </c>
      <c r="AV36" s="34"/>
      <c r="AW36" s="118"/>
      <c r="AX36" s="33" t="str">
        <f t="shared" si="48"/>
        <v>×</v>
      </c>
      <c r="AY36" s="33" t="str">
        <f t="shared" si="49"/>
        <v>×</v>
      </c>
      <c r="AZ36" s="33" t="str">
        <f t="shared" si="50"/>
        <v>×</v>
      </c>
      <c r="BA36" s="33" t="str">
        <f t="shared" si="51"/>
        <v>×</v>
      </c>
      <c r="BB36" s="34" t="s">
        <v>52</v>
      </c>
    </row>
    <row r="37" spans="27:54">
      <c r="AB37" s="75"/>
      <c r="AC37" s="34" t="s">
        <v>26</v>
      </c>
      <c r="AD37" s="116" t="s">
        <v>26</v>
      </c>
      <c r="AE37" s="116"/>
      <c r="AF37" s="34" t="s">
        <v>26</v>
      </c>
      <c r="AG37" s="75"/>
      <c r="AI37" s="75"/>
      <c r="AJ37" s="34" t="s">
        <v>26</v>
      </c>
      <c r="AK37" s="116" t="s">
        <v>26</v>
      </c>
      <c r="AL37" s="116"/>
      <c r="AM37" s="34" t="s">
        <v>26</v>
      </c>
      <c r="AN37" s="75"/>
      <c r="AO37" s="75"/>
      <c r="AP37" s="75"/>
      <c r="AQ37" s="34" t="s">
        <v>26</v>
      </c>
      <c r="AR37" s="116" t="s">
        <v>26</v>
      </c>
      <c r="AS37" s="116"/>
      <c r="AT37" s="34" t="s">
        <v>26</v>
      </c>
      <c r="AU37" s="75"/>
      <c r="AV37" s="75"/>
      <c r="AW37" s="75"/>
      <c r="AX37" s="34" t="s">
        <v>26</v>
      </c>
      <c r="AY37" s="116" t="s">
        <v>26</v>
      </c>
      <c r="AZ37" s="116"/>
      <c r="BA37" s="34" t="s">
        <v>26</v>
      </c>
      <c r="BB37" s="75"/>
    </row>
    <row r="38" spans="27:54">
      <c r="AA38" s="75"/>
    </row>
    <row r="39" spans="27:54">
      <c r="AA39" s="75"/>
    </row>
  </sheetData>
  <mergeCells count="66">
    <mergeCell ref="BB27:BB28"/>
    <mergeCell ref="AW28:AW29"/>
    <mergeCell ref="AY30:AZ30"/>
    <mergeCell ref="AX32:AY32"/>
    <mergeCell ref="AZ32:BA32"/>
    <mergeCell ref="BB34:BB35"/>
    <mergeCell ref="AW35:AW36"/>
    <mergeCell ref="AU34:AU35"/>
    <mergeCell ref="AP35:AP36"/>
    <mergeCell ref="AP33:AP34"/>
    <mergeCell ref="AZ25:BA25"/>
    <mergeCell ref="AW26:AW27"/>
    <mergeCell ref="AY37:AZ37"/>
    <mergeCell ref="AS25:AT25"/>
    <mergeCell ref="AQ25:AR25"/>
    <mergeCell ref="AW33:AW34"/>
    <mergeCell ref="AR30:AS30"/>
    <mergeCell ref="AQ32:AR32"/>
    <mergeCell ref="AS32:AT32"/>
    <mergeCell ref="AR37:AS37"/>
    <mergeCell ref="AX25:AY25"/>
    <mergeCell ref="AN34:AN35"/>
    <mergeCell ref="AB35:AB36"/>
    <mergeCell ref="AI35:AI36"/>
    <mergeCell ref="AD37:AE37"/>
    <mergeCell ref="AK37:AL37"/>
    <mergeCell ref="AB33:AB34"/>
    <mergeCell ref="AI33:AI34"/>
    <mergeCell ref="AG34:AG35"/>
    <mergeCell ref="AK30:AL30"/>
    <mergeCell ref="AC32:AD32"/>
    <mergeCell ref="AE32:AF32"/>
    <mergeCell ref="AJ32:AK32"/>
    <mergeCell ref="AL32:AM32"/>
    <mergeCell ref="AD30:AE30"/>
    <mergeCell ref="BA20:BB20"/>
    <mergeCell ref="AN27:AN28"/>
    <mergeCell ref="AB28:AB29"/>
    <mergeCell ref="AI28:AI29"/>
    <mergeCell ref="AT20:AU20"/>
    <mergeCell ref="AM20:AN20"/>
    <mergeCell ref="AC25:AD25"/>
    <mergeCell ref="AJ25:AK25"/>
    <mergeCell ref="AL25:AM25"/>
    <mergeCell ref="AB26:AB27"/>
    <mergeCell ref="AI26:AI27"/>
    <mergeCell ref="AG27:AG28"/>
    <mergeCell ref="AE25:AF25"/>
    <mergeCell ref="AP26:AP27"/>
    <mergeCell ref="AU27:AU28"/>
    <mergeCell ref="AP28:AP29"/>
    <mergeCell ref="AL12:AM12"/>
    <mergeCell ref="BB12:BC12"/>
    <mergeCell ref="BA15:BB15"/>
    <mergeCell ref="AZ17:BA17"/>
    <mergeCell ref="BB17:BC17"/>
    <mergeCell ref="AZ12:BA12"/>
    <mergeCell ref="AS12:AT12"/>
    <mergeCell ref="AU12:AV12"/>
    <mergeCell ref="AM15:AN15"/>
    <mergeCell ref="AT15:AU15"/>
    <mergeCell ref="AL17:AM17"/>
    <mergeCell ref="AN17:AO17"/>
    <mergeCell ref="AS17:AT17"/>
    <mergeCell ref="AU17:AV17"/>
    <mergeCell ref="AN12:AO12"/>
  </mergeCells>
  <phoneticPr fontId="20"/>
  <conditionalFormatting sqref="C12:F28">
    <cfRule type="cellIs" dxfId="11" priority="1" operator="equal">
      <formula>1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B1:AY37"/>
  <sheetViews>
    <sheetView showGridLines="0" tabSelected="1" topLeftCell="A6" workbookViewId="0">
      <selection activeCell="B16" sqref="B16"/>
    </sheetView>
  </sheetViews>
  <sheetFormatPr defaultColWidth="4" defaultRowHeight="13.5"/>
  <cols>
    <col min="2" max="2" width="4.5" bestFit="1" customWidth="1"/>
    <col min="10" max="11" width="4" customWidth="1"/>
    <col min="12" max="21" width="4" hidden="1" customWidth="1"/>
  </cols>
  <sheetData>
    <row r="1" spans="2:51" hidden="1">
      <c r="L1">
        <v>13</v>
      </c>
      <c r="M1">
        <v>15</v>
      </c>
      <c r="N1">
        <v>7</v>
      </c>
      <c r="O1">
        <v>5</v>
      </c>
      <c r="R1">
        <v>4</v>
      </c>
      <c r="S1">
        <v>8</v>
      </c>
      <c r="T1">
        <v>7</v>
      </c>
      <c r="U1">
        <v>3</v>
      </c>
    </row>
    <row r="2" spans="2:51" hidden="1">
      <c r="L2">
        <v>14</v>
      </c>
      <c r="M2">
        <v>16</v>
      </c>
      <c r="N2">
        <v>8</v>
      </c>
      <c r="O2">
        <v>6</v>
      </c>
      <c r="R2">
        <v>2</v>
      </c>
      <c r="S2">
        <v>6</v>
      </c>
      <c r="T2">
        <v>5</v>
      </c>
      <c r="U2">
        <v>1</v>
      </c>
    </row>
    <row r="3" spans="2:51" hidden="1">
      <c r="L3">
        <v>10</v>
      </c>
      <c r="M3">
        <v>12</v>
      </c>
      <c r="N3">
        <v>4</v>
      </c>
      <c r="O3">
        <v>2</v>
      </c>
    </row>
    <row r="4" spans="2:51" hidden="1">
      <c r="L4">
        <v>9</v>
      </c>
      <c r="M4">
        <v>11</v>
      </c>
      <c r="N4">
        <v>3</v>
      </c>
      <c r="O4">
        <v>1</v>
      </c>
      <c r="T4">
        <v>4</v>
      </c>
      <c r="U4">
        <v>3</v>
      </c>
    </row>
    <row r="5" spans="2:51" hidden="1">
      <c r="T5">
        <v>2</v>
      </c>
      <c r="U5">
        <v>1</v>
      </c>
    </row>
    <row r="7" spans="2:51">
      <c r="B7" t="s">
        <v>73</v>
      </c>
    </row>
    <row r="8" spans="2:51">
      <c r="B8" t="s">
        <v>68</v>
      </c>
    </row>
    <row r="10" spans="2:51">
      <c r="B10" t="s">
        <v>23</v>
      </c>
      <c r="AF10" s="75"/>
    </row>
    <row r="11" spans="2:51">
      <c r="B11" s="26" t="s">
        <v>24</v>
      </c>
      <c r="C11" s="76" t="s">
        <v>50</v>
      </c>
      <c r="D11" s="76" t="s">
        <v>51</v>
      </c>
      <c r="E11" s="76" t="s">
        <v>26</v>
      </c>
      <c r="F11" s="28" t="s">
        <v>52</v>
      </c>
      <c r="G11" s="76" t="s">
        <v>69</v>
      </c>
      <c r="H11" s="76" t="s">
        <v>70</v>
      </c>
      <c r="I11" s="76" t="s">
        <v>71</v>
      </c>
      <c r="J11" s="76" t="s">
        <v>72</v>
      </c>
      <c r="K11" s="29"/>
      <c r="L11" s="29"/>
      <c r="M11" s="29"/>
      <c r="N11" s="76" t="s">
        <v>53</v>
      </c>
      <c r="O11" s="76" t="s">
        <v>48</v>
      </c>
      <c r="P11" s="76" t="s">
        <v>55</v>
      </c>
      <c r="Q11" s="76" t="s">
        <v>57</v>
      </c>
      <c r="U11" s="29"/>
    </row>
    <row r="12" spans="2:51">
      <c r="B12" s="30">
        <v>0</v>
      </c>
      <c r="C12" s="75">
        <f>IF(B12&gt;7,1,0)</f>
        <v>0</v>
      </c>
      <c r="D12" s="75">
        <f>IF(MOD(B12,8)&gt;3,1,0)</f>
        <v>0</v>
      </c>
      <c r="E12" s="75">
        <f>IF(MOD(B12,4)&gt;1,1,0)</f>
        <v>0</v>
      </c>
      <c r="F12" s="31">
        <f>MOD(B12,2)</f>
        <v>0</v>
      </c>
      <c r="G12" s="75">
        <f>C13</f>
        <v>0</v>
      </c>
      <c r="H12" s="75">
        <f>D13</f>
        <v>0</v>
      </c>
      <c r="I12" s="75">
        <f>E13</f>
        <v>0</v>
      </c>
      <c r="J12" s="75">
        <f>F13</f>
        <v>1</v>
      </c>
      <c r="L12" s="75">
        <v>0</v>
      </c>
      <c r="M12" s="75">
        <f t="shared" ref="M12:M27" si="0">IF(ISNA(MATCH(L12,$B$12:$B$27,0)),"×",MATCH(L12,$B$12:$B$27,0))</f>
        <v>1</v>
      </c>
      <c r="N12" s="75">
        <f t="shared" ref="N12:N27" si="1">IF($M12="×","×",INDEX(G$12:G$27,$M12,1))</f>
        <v>0</v>
      </c>
      <c r="O12" s="75">
        <f t="shared" ref="O12:O27" si="2">IF($M12="×","×",INDEX(H$12:H$27,$M12,1))</f>
        <v>0</v>
      </c>
      <c r="P12" s="75">
        <f t="shared" ref="P12:P27" si="3">IF($M12="×","×",INDEX(I$12:I$27,$M12,1))</f>
        <v>0</v>
      </c>
      <c r="Q12" s="75">
        <f t="shared" ref="Q12:Q27" si="4">IF($M12="×","×",INDEX(J$12:J$27,$M12,1))</f>
        <v>1</v>
      </c>
      <c r="U12" s="75"/>
      <c r="W12" s="32" t="s">
        <v>74</v>
      </c>
      <c r="X12" s="76" t="s">
        <v>52</v>
      </c>
      <c r="Y12" s="77" t="s">
        <v>52</v>
      </c>
      <c r="AA12" s="32" t="s">
        <v>75</v>
      </c>
      <c r="AB12" s="76" t="s">
        <v>52</v>
      </c>
      <c r="AC12" s="77" t="s">
        <v>52</v>
      </c>
      <c r="AG12" s="32" t="s">
        <v>74</v>
      </c>
      <c r="AH12" s="114" t="s">
        <v>52</v>
      </c>
      <c r="AI12" s="114"/>
      <c r="AJ12" s="115" t="s">
        <v>52</v>
      </c>
      <c r="AK12" s="115"/>
      <c r="AN12" s="32" t="s">
        <v>75</v>
      </c>
      <c r="AO12" s="114" t="s">
        <v>52</v>
      </c>
      <c r="AP12" s="114"/>
      <c r="AQ12" s="115" t="s">
        <v>52</v>
      </c>
      <c r="AR12" s="115"/>
      <c r="AU12" s="32" t="s">
        <v>76</v>
      </c>
      <c r="AV12" s="114" t="s">
        <v>52</v>
      </c>
      <c r="AW12" s="114"/>
      <c r="AX12" s="115" t="s">
        <v>52</v>
      </c>
      <c r="AY12" s="115"/>
    </row>
    <row r="13" spans="2:51">
      <c r="B13" s="30">
        <v>1</v>
      </c>
      <c r="C13" s="75">
        <f t="shared" ref="C13:C27" si="5">IF(B13&gt;7,1,0)</f>
        <v>0</v>
      </c>
      <c r="D13" s="75">
        <f t="shared" ref="D13:D26" si="6">IF(MOD(B13,8)&gt;3,1,0)</f>
        <v>0</v>
      </c>
      <c r="E13" s="75">
        <f t="shared" ref="E13:E27" si="7">IF(MOD(B13,4)&gt;1,1,0)</f>
        <v>0</v>
      </c>
      <c r="F13" s="31">
        <f>MOD(B13,2)</f>
        <v>1</v>
      </c>
      <c r="G13" s="75">
        <f>IF(ISNUMBER($B14),C14,C$12)</f>
        <v>0</v>
      </c>
      <c r="H13" s="75">
        <f>IF(ISNUMBER($B14),D14,D$12)</f>
        <v>0</v>
      </c>
      <c r="I13" s="75">
        <f>IF(ISNUMBER($B14),E14,E$12)</f>
        <v>1</v>
      </c>
      <c r="J13" s="75">
        <f>IF(ISNUMBER($B14),F14,F$12)</f>
        <v>0</v>
      </c>
      <c r="L13" s="75">
        <v>1</v>
      </c>
      <c r="M13" s="75">
        <f t="shared" si="0"/>
        <v>2</v>
      </c>
      <c r="N13" s="75">
        <f t="shared" si="1"/>
        <v>0</v>
      </c>
      <c r="O13" s="75">
        <f t="shared" si="2"/>
        <v>0</v>
      </c>
      <c r="P13" s="75">
        <f t="shared" si="3"/>
        <v>1</v>
      </c>
      <c r="Q13" s="75">
        <f t="shared" si="4"/>
        <v>0</v>
      </c>
      <c r="U13" s="75"/>
      <c r="W13" s="78" t="s">
        <v>26</v>
      </c>
      <c r="X13" s="33">
        <f>INDEX($Q$12:$Q$27,T4,1)</f>
        <v>0</v>
      </c>
      <c r="Y13" s="33">
        <f>INDEX($Q$12:$Q$27,U4,1)</f>
        <v>1</v>
      </c>
      <c r="AA13" s="78" t="s">
        <v>26</v>
      </c>
      <c r="AB13" s="33">
        <f>INDEX($P$12:$P$27,T4,1)</f>
        <v>0</v>
      </c>
      <c r="AC13" s="33">
        <f>INDEX($P$12:$P$27,U4,1)</f>
        <v>1</v>
      </c>
      <c r="AG13" s="78" t="s">
        <v>26</v>
      </c>
      <c r="AH13" s="33">
        <f t="shared" ref="AH13:AK14" si="8">INDEX($Q$12:$Q$27,R1,1)</f>
        <v>0</v>
      </c>
      <c r="AI13" s="33" t="str">
        <f t="shared" si="8"/>
        <v>×</v>
      </c>
      <c r="AJ13" s="33" t="str">
        <f t="shared" si="8"/>
        <v>×</v>
      </c>
      <c r="AK13" s="33">
        <f t="shared" si="8"/>
        <v>1</v>
      </c>
      <c r="AN13" s="78" t="s">
        <v>26</v>
      </c>
      <c r="AO13" s="33">
        <f t="shared" ref="AO13:AR14" si="9">INDEX($P$12:$P$27,R1,1)</f>
        <v>0</v>
      </c>
      <c r="AP13" s="33" t="str">
        <f t="shared" si="9"/>
        <v>×</v>
      </c>
      <c r="AQ13" s="33" t="str">
        <f t="shared" si="9"/>
        <v>×</v>
      </c>
      <c r="AR13" s="33">
        <f t="shared" si="9"/>
        <v>1</v>
      </c>
      <c r="AU13" s="78" t="s">
        <v>26</v>
      </c>
      <c r="AV13" s="33">
        <f t="shared" ref="AV13:AY14" si="10">INDEX($O$12:$O$27,R1,1)</f>
        <v>0</v>
      </c>
      <c r="AW13" s="33" t="str">
        <f t="shared" si="10"/>
        <v>×</v>
      </c>
      <c r="AX13" s="33" t="str">
        <f t="shared" si="10"/>
        <v>×</v>
      </c>
      <c r="AY13" s="33">
        <f t="shared" si="10"/>
        <v>0</v>
      </c>
    </row>
    <row r="14" spans="2:51">
      <c r="B14" s="30">
        <v>2</v>
      </c>
      <c r="C14" s="75">
        <f t="shared" si="5"/>
        <v>0</v>
      </c>
      <c r="D14" s="75">
        <f t="shared" si="6"/>
        <v>0</v>
      </c>
      <c r="E14" s="75">
        <f t="shared" si="7"/>
        <v>1</v>
      </c>
      <c r="F14" s="31">
        <f>MOD(B14,2)</f>
        <v>0</v>
      </c>
      <c r="G14" s="75">
        <f t="shared" ref="G14:G26" si="11">IF(ISNUMBER($B15),C15,C$12)</f>
        <v>0</v>
      </c>
      <c r="H14" s="75">
        <f t="shared" ref="H14:H26" si="12">IF(ISNUMBER($B15),D15,D$12)</f>
        <v>0</v>
      </c>
      <c r="I14" s="75">
        <f t="shared" ref="I14:I26" si="13">IF(ISNUMBER($B15),E15,E$12)</f>
        <v>1</v>
      </c>
      <c r="J14" s="75">
        <f t="shared" ref="J14:J26" si="14">IF(ISNUMBER($B15),F15,F$12)</f>
        <v>1</v>
      </c>
      <c r="L14" s="75">
        <v>2</v>
      </c>
      <c r="M14" s="75">
        <f t="shared" si="0"/>
        <v>3</v>
      </c>
      <c r="N14" s="75">
        <f t="shared" si="1"/>
        <v>0</v>
      </c>
      <c r="O14" s="75">
        <f t="shared" si="2"/>
        <v>0</v>
      </c>
      <c r="P14" s="75">
        <f t="shared" si="3"/>
        <v>1</v>
      </c>
      <c r="Q14" s="75">
        <f t="shared" si="4"/>
        <v>1</v>
      </c>
      <c r="U14" s="75"/>
      <c r="W14" s="79" t="s">
        <v>26</v>
      </c>
      <c r="X14" s="33">
        <f>INDEX($Q$12:$Q$27,T5,1)</f>
        <v>0</v>
      </c>
      <c r="Y14" s="33">
        <f>INDEX($Q$12:$Q$27,U5,1)</f>
        <v>1</v>
      </c>
      <c r="AA14" s="79" t="s">
        <v>26</v>
      </c>
      <c r="AB14" s="33">
        <f>INDEX($P$12:$P$27,T5,1)</f>
        <v>1</v>
      </c>
      <c r="AC14" s="33">
        <f>INDEX($P$12:$P$27,U5,1)</f>
        <v>0</v>
      </c>
      <c r="AG14" s="79" t="s">
        <v>26</v>
      </c>
      <c r="AH14" s="33">
        <f t="shared" si="8"/>
        <v>0</v>
      </c>
      <c r="AI14" s="33" t="str">
        <f t="shared" si="8"/>
        <v>×</v>
      </c>
      <c r="AJ14" s="33" t="str">
        <f t="shared" si="8"/>
        <v>×</v>
      </c>
      <c r="AK14" s="33">
        <f t="shared" si="8"/>
        <v>1</v>
      </c>
      <c r="AN14" s="79" t="s">
        <v>26</v>
      </c>
      <c r="AO14" s="33">
        <f t="shared" si="9"/>
        <v>1</v>
      </c>
      <c r="AP14" s="33" t="str">
        <f t="shared" si="9"/>
        <v>×</v>
      </c>
      <c r="AQ14" s="33" t="str">
        <f t="shared" si="9"/>
        <v>×</v>
      </c>
      <c r="AR14" s="33">
        <f t="shared" si="9"/>
        <v>0</v>
      </c>
      <c r="AU14" s="79" t="s">
        <v>26</v>
      </c>
      <c r="AV14" s="33">
        <f t="shared" si="10"/>
        <v>0</v>
      </c>
      <c r="AW14" s="33" t="str">
        <f t="shared" si="10"/>
        <v>×</v>
      </c>
      <c r="AX14" s="33" t="str">
        <f t="shared" si="10"/>
        <v>×</v>
      </c>
      <c r="AY14" s="33">
        <f t="shared" si="10"/>
        <v>0</v>
      </c>
    </row>
    <row r="15" spans="2:51">
      <c r="B15" s="30">
        <v>3</v>
      </c>
      <c r="C15" s="75">
        <f>IF(B15&gt;7,1,0)</f>
        <v>0</v>
      </c>
      <c r="D15" s="75">
        <f t="shared" si="6"/>
        <v>0</v>
      </c>
      <c r="E15" s="75">
        <f t="shared" si="7"/>
        <v>1</v>
      </c>
      <c r="F15" s="31">
        <f>MOD(B15,2)</f>
        <v>1</v>
      </c>
      <c r="G15" s="75">
        <f t="shared" si="11"/>
        <v>0</v>
      </c>
      <c r="H15" s="75">
        <f t="shared" si="12"/>
        <v>0</v>
      </c>
      <c r="I15" s="75">
        <f t="shared" si="13"/>
        <v>0</v>
      </c>
      <c r="J15" s="75">
        <f t="shared" si="14"/>
        <v>0</v>
      </c>
      <c r="L15" s="75">
        <v>3</v>
      </c>
      <c r="M15" s="75">
        <f t="shared" si="0"/>
        <v>4</v>
      </c>
      <c r="N15" s="75">
        <f t="shared" si="1"/>
        <v>0</v>
      </c>
      <c r="O15" s="75">
        <f t="shared" si="2"/>
        <v>0</v>
      </c>
      <c r="P15" s="75">
        <f t="shared" si="3"/>
        <v>0</v>
      </c>
      <c r="Q15" s="75">
        <f t="shared" si="4"/>
        <v>0</v>
      </c>
      <c r="U15" s="75"/>
      <c r="AH15" s="38" t="s">
        <v>51</v>
      </c>
      <c r="AI15" s="116" t="s">
        <v>51</v>
      </c>
      <c r="AJ15" s="116"/>
      <c r="AK15" s="38" t="s">
        <v>51</v>
      </c>
      <c r="AO15" s="38" t="s">
        <v>51</v>
      </c>
      <c r="AP15" s="116" t="s">
        <v>51</v>
      </c>
      <c r="AQ15" s="116"/>
      <c r="AR15" s="38" t="s">
        <v>51</v>
      </c>
      <c r="AV15" s="38" t="s">
        <v>51</v>
      </c>
      <c r="AW15" s="116" t="s">
        <v>51</v>
      </c>
      <c r="AX15" s="116"/>
      <c r="AY15" s="38" t="s">
        <v>51</v>
      </c>
    </row>
    <row r="16" spans="2:51">
      <c r="B16" s="30"/>
      <c r="C16" s="75">
        <f t="shared" si="5"/>
        <v>0</v>
      </c>
      <c r="D16" s="75">
        <f t="shared" si="6"/>
        <v>0</v>
      </c>
      <c r="E16" s="75">
        <f t="shared" si="7"/>
        <v>0</v>
      </c>
      <c r="F16" s="31">
        <f t="shared" ref="F16:F27" si="15">MOD(B16,2)</f>
        <v>0</v>
      </c>
      <c r="G16" s="75">
        <f t="shared" si="11"/>
        <v>0</v>
      </c>
      <c r="H16" s="75">
        <f t="shared" si="12"/>
        <v>0</v>
      </c>
      <c r="I16" s="75">
        <f t="shared" si="13"/>
        <v>0</v>
      </c>
      <c r="J16" s="75">
        <f t="shared" si="14"/>
        <v>0</v>
      </c>
      <c r="L16" s="75">
        <v>4</v>
      </c>
      <c r="M16" s="75" t="str">
        <f t="shared" si="0"/>
        <v>×</v>
      </c>
      <c r="N16" s="75" t="str">
        <f t="shared" si="1"/>
        <v>×</v>
      </c>
      <c r="O16" s="75" t="str">
        <f t="shared" si="2"/>
        <v>×</v>
      </c>
      <c r="P16" s="75" t="str">
        <f t="shared" si="3"/>
        <v>×</v>
      </c>
      <c r="Q16" s="75" t="str">
        <f t="shared" si="4"/>
        <v>×</v>
      </c>
      <c r="U16" s="75"/>
    </row>
    <row r="17" spans="2:50">
      <c r="B17" s="30"/>
      <c r="C17" s="75">
        <f t="shared" si="5"/>
        <v>0</v>
      </c>
      <c r="D17" s="75">
        <f t="shared" si="6"/>
        <v>0</v>
      </c>
      <c r="E17" s="75">
        <f t="shared" si="7"/>
        <v>0</v>
      </c>
      <c r="F17" s="31">
        <f t="shared" si="15"/>
        <v>0</v>
      </c>
      <c r="G17" s="75">
        <f t="shared" si="11"/>
        <v>0</v>
      </c>
      <c r="H17" s="75">
        <f t="shared" si="12"/>
        <v>0</v>
      </c>
      <c r="I17" s="75">
        <f t="shared" si="13"/>
        <v>0</v>
      </c>
      <c r="J17" s="75">
        <f t="shared" si="14"/>
        <v>0</v>
      </c>
      <c r="L17" s="75">
        <v>5</v>
      </c>
      <c r="M17" s="75" t="str">
        <f t="shared" si="0"/>
        <v>×</v>
      </c>
      <c r="N17" s="75" t="str">
        <f t="shared" si="1"/>
        <v>×</v>
      </c>
      <c r="O17" s="75" t="str">
        <f t="shared" si="2"/>
        <v>×</v>
      </c>
      <c r="P17" s="75" t="str">
        <f t="shared" si="3"/>
        <v>×</v>
      </c>
      <c r="Q17" s="75" t="str">
        <f t="shared" si="4"/>
        <v>×</v>
      </c>
      <c r="U17" s="75"/>
    </row>
    <row r="18" spans="2:50">
      <c r="B18" s="30"/>
      <c r="C18" s="75">
        <f t="shared" si="5"/>
        <v>0</v>
      </c>
      <c r="D18" s="75">
        <f t="shared" si="6"/>
        <v>0</v>
      </c>
      <c r="E18" s="75">
        <f t="shared" si="7"/>
        <v>0</v>
      </c>
      <c r="F18" s="31">
        <f t="shared" si="15"/>
        <v>0</v>
      </c>
      <c r="G18" s="75">
        <f t="shared" si="11"/>
        <v>0</v>
      </c>
      <c r="H18" s="75">
        <f t="shared" si="12"/>
        <v>0</v>
      </c>
      <c r="I18" s="75">
        <f t="shared" si="13"/>
        <v>0</v>
      </c>
      <c r="J18" s="75">
        <f t="shared" si="14"/>
        <v>0</v>
      </c>
      <c r="L18" s="75">
        <v>6</v>
      </c>
      <c r="M18" s="75" t="str">
        <f t="shared" si="0"/>
        <v>×</v>
      </c>
      <c r="N18" s="75" t="str">
        <f t="shared" si="1"/>
        <v>×</v>
      </c>
      <c r="O18" s="75" t="str">
        <f t="shared" si="2"/>
        <v>×</v>
      </c>
      <c r="P18" s="75" t="str">
        <f t="shared" si="3"/>
        <v>×</v>
      </c>
      <c r="Q18" s="75" t="str">
        <f t="shared" si="4"/>
        <v>×</v>
      </c>
      <c r="U18" s="75"/>
      <c r="W18" s="29"/>
    </row>
    <row r="19" spans="2:50">
      <c r="B19" s="30"/>
      <c r="C19" s="75">
        <f t="shared" si="5"/>
        <v>0</v>
      </c>
      <c r="D19" s="75">
        <f t="shared" si="6"/>
        <v>0</v>
      </c>
      <c r="E19" s="75">
        <f t="shared" si="7"/>
        <v>0</v>
      </c>
      <c r="F19" s="31">
        <f t="shared" si="15"/>
        <v>0</v>
      </c>
      <c r="G19" s="75">
        <f t="shared" si="11"/>
        <v>0</v>
      </c>
      <c r="H19" s="75">
        <f t="shared" si="12"/>
        <v>0</v>
      </c>
      <c r="I19" s="75">
        <f t="shared" si="13"/>
        <v>0</v>
      </c>
      <c r="J19" s="75">
        <f t="shared" si="14"/>
        <v>0</v>
      </c>
      <c r="L19" s="75">
        <v>7</v>
      </c>
      <c r="M19" s="75" t="str">
        <f t="shared" si="0"/>
        <v>×</v>
      </c>
      <c r="N19" s="75" t="str">
        <f t="shared" si="1"/>
        <v>×</v>
      </c>
      <c r="O19" s="75" t="str">
        <f t="shared" si="2"/>
        <v>×</v>
      </c>
      <c r="P19" s="75" t="str">
        <f t="shared" si="3"/>
        <v>×</v>
      </c>
      <c r="Q19" s="75" t="str">
        <f t="shared" si="4"/>
        <v>×</v>
      </c>
      <c r="U19" s="75"/>
      <c r="W19" s="75"/>
    </row>
    <row r="20" spans="2:50">
      <c r="B20" s="30"/>
      <c r="C20" s="75">
        <f t="shared" si="5"/>
        <v>0</v>
      </c>
      <c r="D20" s="75">
        <f t="shared" si="6"/>
        <v>0</v>
      </c>
      <c r="E20" s="75">
        <f t="shared" si="7"/>
        <v>0</v>
      </c>
      <c r="F20" s="31">
        <f t="shared" si="15"/>
        <v>0</v>
      </c>
      <c r="G20" s="75">
        <f t="shared" si="11"/>
        <v>0</v>
      </c>
      <c r="H20" s="75">
        <f t="shared" si="12"/>
        <v>0</v>
      </c>
      <c r="I20" s="75">
        <f t="shared" si="13"/>
        <v>0</v>
      </c>
      <c r="J20" s="75">
        <f t="shared" si="14"/>
        <v>0</v>
      </c>
      <c r="L20" s="75">
        <v>8</v>
      </c>
      <c r="M20" s="75" t="str">
        <f t="shared" si="0"/>
        <v>×</v>
      </c>
      <c r="N20" s="75" t="str">
        <f t="shared" si="1"/>
        <v>×</v>
      </c>
      <c r="O20" s="75" t="str">
        <f t="shared" si="2"/>
        <v>×</v>
      </c>
      <c r="P20" s="75" t="str">
        <f t="shared" si="3"/>
        <v>×</v>
      </c>
      <c r="Q20" s="75" t="str">
        <f t="shared" si="4"/>
        <v>×</v>
      </c>
      <c r="U20" s="75"/>
      <c r="X20" s="32" t="s">
        <v>74</v>
      </c>
      <c r="Y20" s="114" t="s">
        <v>50</v>
      </c>
      <c r="Z20" s="114"/>
      <c r="AA20" s="115" t="s">
        <v>50</v>
      </c>
      <c r="AB20" s="115"/>
      <c r="AC20" s="75"/>
      <c r="AE20" s="32" t="s">
        <v>75</v>
      </c>
      <c r="AF20" s="114" t="s">
        <v>50</v>
      </c>
      <c r="AG20" s="114"/>
      <c r="AH20" s="115" t="s">
        <v>50</v>
      </c>
      <c r="AI20" s="115"/>
      <c r="AJ20" s="75"/>
      <c r="AK20" s="75"/>
      <c r="AL20" s="32" t="s">
        <v>76</v>
      </c>
      <c r="AM20" s="114" t="s">
        <v>50</v>
      </c>
      <c r="AN20" s="114"/>
      <c r="AO20" s="115" t="s">
        <v>50</v>
      </c>
      <c r="AP20" s="115"/>
      <c r="AQ20" s="75"/>
      <c r="AR20" s="75"/>
      <c r="AS20" s="32" t="s">
        <v>77</v>
      </c>
      <c r="AT20" s="114" t="s">
        <v>50</v>
      </c>
      <c r="AU20" s="114"/>
      <c r="AV20" s="115" t="s">
        <v>50</v>
      </c>
      <c r="AW20" s="115"/>
      <c r="AX20" s="75"/>
    </row>
    <row r="21" spans="2:50">
      <c r="B21" s="30"/>
      <c r="C21" s="75">
        <f t="shared" si="5"/>
        <v>0</v>
      </c>
      <c r="D21" s="75">
        <f t="shared" si="6"/>
        <v>0</v>
      </c>
      <c r="E21" s="75">
        <f t="shared" si="7"/>
        <v>0</v>
      </c>
      <c r="F21" s="31">
        <f t="shared" si="15"/>
        <v>0</v>
      </c>
      <c r="G21" s="75">
        <f t="shared" si="11"/>
        <v>0</v>
      </c>
      <c r="H21" s="75">
        <f t="shared" si="12"/>
        <v>0</v>
      </c>
      <c r="I21" s="75">
        <f t="shared" si="13"/>
        <v>0</v>
      </c>
      <c r="J21" s="75">
        <f t="shared" si="14"/>
        <v>0</v>
      </c>
      <c r="L21" s="75">
        <v>9</v>
      </c>
      <c r="M21" s="75" t="str">
        <f t="shared" si="0"/>
        <v>×</v>
      </c>
      <c r="N21" s="75" t="str">
        <f t="shared" si="1"/>
        <v>×</v>
      </c>
      <c r="O21" s="75" t="str">
        <f t="shared" si="2"/>
        <v>×</v>
      </c>
      <c r="P21" s="75" t="str">
        <f t="shared" si="3"/>
        <v>×</v>
      </c>
      <c r="Q21" s="75" t="str">
        <f t="shared" si="4"/>
        <v>×</v>
      </c>
      <c r="U21" s="75"/>
      <c r="X21" s="119" t="s">
        <v>51</v>
      </c>
      <c r="Y21" s="33" t="str">
        <f t="shared" ref="Y21:AB24" si="16">INDEX($Q$12:$Q$27,L1,1)</f>
        <v>×</v>
      </c>
      <c r="Z21" s="33" t="str">
        <f t="shared" si="16"/>
        <v>×</v>
      </c>
      <c r="AA21" s="33" t="str">
        <f t="shared" si="16"/>
        <v>×</v>
      </c>
      <c r="AB21" s="33" t="str">
        <f t="shared" si="16"/>
        <v>×</v>
      </c>
      <c r="AC21" s="34" t="s">
        <v>52</v>
      </c>
      <c r="AE21" s="119" t="s">
        <v>51</v>
      </c>
      <c r="AF21" s="33" t="str">
        <f t="shared" ref="AF21:AI24" si="17">INDEX($P$12:$P$27,L1,1)</f>
        <v>×</v>
      </c>
      <c r="AG21" s="33" t="str">
        <f t="shared" si="17"/>
        <v>×</v>
      </c>
      <c r="AH21" s="33" t="str">
        <f t="shared" si="17"/>
        <v>×</v>
      </c>
      <c r="AI21" s="33" t="str">
        <f t="shared" si="17"/>
        <v>×</v>
      </c>
      <c r="AJ21" s="34" t="s">
        <v>52</v>
      </c>
      <c r="AK21" s="34"/>
      <c r="AL21" s="119" t="s">
        <v>51</v>
      </c>
      <c r="AM21" s="33" t="str">
        <f t="shared" ref="AM21:AP24" si="18">INDEX($O$12:$O$27,L1,1)</f>
        <v>×</v>
      </c>
      <c r="AN21" s="33" t="str">
        <f t="shared" si="18"/>
        <v>×</v>
      </c>
      <c r="AO21" s="33" t="str">
        <f t="shared" si="18"/>
        <v>×</v>
      </c>
      <c r="AP21" s="33" t="str">
        <f t="shared" si="18"/>
        <v>×</v>
      </c>
      <c r="AQ21" s="34" t="s">
        <v>52</v>
      </c>
      <c r="AR21" s="34"/>
      <c r="AS21" s="119" t="s">
        <v>51</v>
      </c>
      <c r="AT21" s="33" t="str">
        <f t="shared" ref="AT21:AW24" si="19">INDEX($N$12:$N$27,L1,1)</f>
        <v>×</v>
      </c>
      <c r="AU21" s="33" t="str">
        <f t="shared" si="19"/>
        <v>×</v>
      </c>
      <c r="AV21" s="33" t="str">
        <f t="shared" si="19"/>
        <v>×</v>
      </c>
      <c r="AW21" s="33" t="str">
        <f t="shared" si="19"/>
        <v>×</v>
      </c>
      <c r="AX21" s="34" t="s">
        <v>52</v>
      </c>
    </row>
    <row r="22" spans="2:50">
      <c r="B22" s="30"/>
      <c r="C22" s="75">
        <f t="shared" si="5"/>
        <v>0</v>
      </c>
      <c r="D22" s="75">
        <f t="shared" si="6"/>
        <v>0</v>
      </c>
      <c r="E22" s="75">
        <f t="shared" si="7"/>
        <v>0</v>
      </c>
      <c r="F22" s="31">
        <f t="shared" si="15"/>
        <v>0</v>
      </c>
      <c r="G22" s="75">
        <f t="shared" si="11"/>
        <v>0</v>
      </c>
      <c r="H22" s="75">
        <f t="shared" si="12"/>
        <v>0</v>
      </c>
      <c r="I22" s="75">
        <f t="shared" si="13"/>
        <v>0</v>
      </c>
      <c r="J22" s="75">
        <f t="shared" si="14"/>
        <v>0</v>
      </c>
      <c r="L22" s="75">
        <v>10</v>
      </c>
      <c r="M22" s="75" t="str">
        <f t="shared" si="0"/>
        <v>×</v>
      </c>
      <c r="N22" s="75" t="str">
        <f t="shared" si="1"/>
        <v>×</v>
      </c>
      <c r="O22" s="75" t="str">
        <f t="shared" si="2"/>
        <v>×</v>
      </c>
      <c r="P22" s="75" t="str">
        <f t="shared" si="3"/>
        <v>×</v>
      </c>
      <c r="Q22" s="75" t="str">
        <f t="shared" si="4"/>
        <v>×</v>
      </c>
      <c r="U22" s="75"/>
      <c r="X22" s="119"/>
      <c r="Y22" s="33" t="str">
        <f t="shared" si="16"/>
        <v>×</v>
      </c>
      <c r="Z22" s="33" t="str">
        <f t="shared" si="16"/>
        <v>×</v>
      </c>
      <c r="AA22" s="33" t="str">
        <f t="shared" si="16"/>
        <v>×</v>
      </c>
      <c r="AB22" s="33" t="str">
        <f t="shared" si="16"/>
        <v>×</v>
      </c>
      <c r="AC22" s="117" t="s">
        <v>52</v>
      </c>
      <c r="AE22" s="119"/>
      <c r="AF22" s="33" t="str">
        <f t="shared" si="17"/>
        <v>×</v>
      </c>
      <c r="AG22" s="33" t="str">
        <f t="shared" si="17"/>
        <v>×</v>
      </c>
      <c r="AH22" s="33" t="str">
        <f t="shared" si="17"/>
        <v>×</v>
      </c>
      <c r="AI22" s="33" t="str">
        <f t="shared" si="17"/>
        <v>×</v>
      </c>
      <c r="AJ22" s="117" t="s">
        <v>52</v>
      </c>
      <c r="AK22" s="29"/>
      <c r="AL22" s="119"/>
      <c r="AM22" s="33" t="str">
        <f t="shared" si="18"/>
        <v>×</v>
      </c>
      <c r="AN22" s="33" t="str">
        <f t="shared" si="18"/>
        <v>×</v>
      </c>
      <c r="AO22" s="33" t="str">
        <f t="shared" si="18"/>
        <v>×</v>
      </c>
      <c r="AP22" s="33" t="str">
        <f t="shared" si="18"/>
        <v>×</v>
      </c>
      <c r="AQ22" s="117" t="s">
        <v>52</v>
      </c>
      <c r="AR22" s="29"/>
      <c r="AS22" s="119"/>
      <c r="AT22" s="33" t="str">
        <f t="shared" si="19"/>
        <v>×</v>
      </c>
      <c r="AU22" s="33" t="str">
        <f t="shared" si="19"/>
        <v>×</v>
      </c>
      <c r="AV22" s="33" t="str">
        <f t="shared" si="19"/>
        <v>×</v>
      </c>
      <c r="AW22" s="33" t="str">
        <f t="shared" si="19"/>
        <v>×</v>
      </c>
      <c r="AX22" s="117" t="s">
        <v>52</v>
      </c>
    </row>
    <row r="23" spans="2:50">
      <c r="B23" s="30"/>
      <c r="C23" s="75">
        <f t="shared" si="5"/>
        <v>0</v>
      </c>
      <c r="D23" s="75">
        <f t="shared" si="6"/>
        <v>0</v>
      </c>
      <c r="E23" s="75">
        <f t="shared" si="7"/>
        <v>0</v>
      </c>
      <c r="F23" s="31">
        <f t="shared" si="15"/>
        <v>0</v>
      </c>
      <c r="G23" s="75">
        <f t="shared" si="11"/>
        <v>0</v>
      </c>
      <c r="H23" s="75">
        <f t="shared" si="12"/>
        <v>0</v>
      </c>
      <c r="I23" s="75">
        <f t="shared" si="13"/>
        <v>0</v>
      </c>
      <c r="J23" s="75">
        <f t="shared" si="14"/>
        <v>0</v>
      </c>
      <c r="L23" s="75">
        <v>11</v>
      </c>
      <c r="M23" s="75" t="str">
        <f t="shared" si="0"/>
        <v>×</v>
      </c>
      <c r="N23" s="75" t="str">
        <f t="shared" si="1"/>
        <v>×</v>
      </c>
      <c r="O23" s="75" t="str">
        <f t="shared" si="2"/>
        <v>×</v>
      </c>
      <c r="P23" s="75" t="str">
        <f t="shared" si="3"/>
        <v>×</v>
      </c>
      <c r="Q23" s="75" t="str">
        <f t="shared" si="4"/>
        <v>×</v>
      </c>
      <c r="X23" s="118" t="s">
        <v>51</v>
      </c>
      <c r="Y23" s="33" t="str">
        <f t="shared" si="16"/>
        <v>×</v>
      </c>
      <c r="Z23" s="33" t="str">
        <f t="shared" si="16"/>
        <v>×</v>
      </c>
      <c r="AA23" s="33">
        <f t="shared" si="16"/>
        <v>0</v>
      </c>
      <c r="AB23" s="33">
        <f t="shared" si="16"/>
        <v>0</v>
      </c>
      <c r="AC23" s="117"/>
      <c r="AE23" s="118" t="s">
        <v>51</v>
      </c>
      <c r="AF23" s="33" t="str">
        <f t="shared" si="17"/>
        <v>×</v>
      </c>
      <c r="AG23" s="33" t="str">
        <f t="shared" si="17"/>
        <v>×</v>
      </c>
      <c r="AH23" s="33">
        <f t="shared" si="17"/>
        <v>0</v>
      </c>
      <c r="AI23" s="33">
        <f t="shared" si="17"/>
        <v>1</v>
      </c>
      <c r="AJ23" s="117"/>
      <c r="AK23" s="29"/>
      <c r="AL23" s="118" t="s">
        <v>51</v>
      </c>
      <c r="AM23" s="33" t="str">
        <f t="shared" si="18"/>
        <v>×</v>
      </c>
      <c r="AN23" s="33" t="str">
        <f t="shared" si="18"/>
        <v>×</v>
      </c>
      <c r="AO23" s="33">
        <f t="shared" si="18"/>
        <v>0</v>
      </c>
      <c r="AP23" s="33">
        <f t="shared" si="18"/>
        <v>0</v>
      </c>
      <c r="AQ23" s="117"/>
      <c r="AR23" s="29"/>
      <c r="AS23" s="118" t="s">
        <v>51</v>
      </c>
      <c r="AT23" s="33" t="str">
        <f t="shared" si="19"/>
        <v>×</v>
      </c>
      <c r="AU23" s="33" t="str">
        <f t="shared" si="19"/>
        <v>×</v>
      </c>
      <c r="AV23" s="33">
        <f t="shared" si="19"/>
        <v>0</v>
      </c>
      <c r="AW23" s="33">
        <f t="shared" si="19"/>
        <v>0</v>
      </c>
      <c r="AX23" s="117"/>
    </row>
    <row r="24" spans="2:50">
      <c r="B24" s="30"/>
      <c r="C24" s="75">
        <f t="shared" si="5"/>
        <v>0</v>
      </c>
      <c r="D24" s="75">
        <f t="shared" si="6"/>
        <v>0</v>
      </c>
      <c r="E24" s="75">
        <f t="shared" si="7"/>
        <v>0</v>
      </c>
      <c r="F24" s="31">
        <f t="shared" si="15"/>
        <v>0</v>
      </c>
      <c r="G24" s="75">
        <f t="shared" si="11"/>
        <v>0</v>
      </c>
      <c r="H24" s="75">
        <f t="shared" si="12"/>
        <v>0</v>
      </c>
      <c r="I24" s="75">
        <f t="shared" si="13"/>
        <v>0</v>
      </c>
      <c r="J24" s="75">
        <f t="shared" si="14"/>
        <v>0</v>
      </c>
      <c r="L24" s="75">
        <v>12</v>
      </c>
      <c r="M24" s="75" t="str">
        <f t="shared" si="0"/>
        <v>×</v>
      </c>
      <c r="N24" s="75" t="str">
        <f t="shared" si="1"/>
        <v>×</v>
      </c>
      <c r="O24" s="75" t="str">
        <f t="shared" si="2"/>
        <v>×</v>
      </c>
      <c r="P24" s="75" t="str">
        <f t="shared" si="3"/>
        <v>×</v>
      </c>
      <c r="Q24" s="75" t="str">
        <f t="shared" si="4"/>
        <v>×</v>
      </c>
      <c r="X24" s="118"/>
      <c r="Y24" s="33" t="str">
        <f t="shared" si="16"/>
        <v>×</v>
      </c>
      <c r="Z24" s="33" t="str">
        <f t="shared" si="16"/>
        <v>×</v>
      </c>
      <c r="AA24" s="33">
        <f t="shared" si="16"/>
        <v>1</v>
      </c>
      <c r="AB24" s="33">
        <f t="shared" si="16"/>
        <v>1</v>
      </c>
      <c r="AC24" s="34" t="s">
        <v>52</v>
      </c>
      <c r="AE24" s="118"/>
      <c r="AF24" s="33" t="str">
        <f t="shared" si="17"/>
        <v>×</v>
      </c>
      <c r="AG24" s="33" t="str">
        <f t="shared" si="17"/>
        <v>×</v>
      </c>
      <c r="AH24" s="33">
        <f t="shared" si="17"/>
        <v>1</v>
      </c>
      <c r="AI24" s="33">
        <f t="shared" si="17"/>
        <v>0</v>
      </c>
      <c r="AJ24" s="34" t="s">
        <v>52</v>
      </c>
      <c r="AK24" s="34"/>
      <c r="AL24" s="118"/>
      <c r="AM24" s="33" t="str">
        <f t="shared" si="18"/>
        <v>×</v>
      </c>
      <c r="AN24" s="33" t="str">
        <f t="shared" si="18"/>
        <v>×</v>
      </c>
      <c r="AO24" s="33">
        <f t="shared" si="18"/>
        <v>0</v>
      </c>
      <c r="AP24" s="33">
        <f t="shared" si="18"/>
        <v>0</v>
      </c>
      <c r="AQ24" s="34" t="s">
        <v>52</v>
      </c>
      <c r="AR24" s="34"/>
      <c r="AS24" s="118"/>
      <c r="AT24" s="33" t="str">
        <f t="shared" si="19"/>
        <v>×</v>
      </c>
      <c r="AU24" s="33" t="str">
        <f t="shared" si="19"/>
        <v>×</v>
      </c>
      <c r="AV24" s="33">
        <f t="shared" si="19"/>
        <v>0</v>
      </c>
      <c r="AW24" s="33">
        <f t="shared" si="19"/>
        <v>0</v>
      </c>
      <c r="AX24" s="34" t="s">
        <v>52</v>
      </c>
    </row>
    <row r="25" spans="2:50">
      <c r="B25" s="30"/>
      <c r="C25" s="75">
        <f t="shared" si="5"/>
        <v>0</v>
      </c>
      <c r="D25" s="75">
        <f t="shared" si="6"/>
        <v>0</v>
      </c>
      <c r="E25" s="75">
        <f t="shared" si="7"/>
        <v>0</v>
      </c>
      <c r="F25" s="31">
        <f t="shared" si="15"/>
        <v>0</v>
      </c>
      <c r="G25" s="75">
        <f t="shared" si="11"/>
        <v>0</v>
      </c>
      <c r="H25" s="75">
        <f t="shared" si="12"/>
        <v>0</v>
      </c>
      <c r="I25" s="75">
        <f t="shared" si="13"/>
        <v>0</v>
      </c>
      <c r="J25" s="75">
        <f t="shared" si="14"/>
        <v>0</v>
      </c>
      <c r="L25" s="75">
        <v>13</v>
      </c>
      <c r="M25" s="75" t="str">
        <f t="shared" si="0"/>
        <v>×</v>
      </c>
      <c r="N25" s="75" t="str">
        <f t="shared" si="1"/>
        <v>×</v>
      </c>
      <c r="O25" s="75" t="str">
        <f t="shared" si="2"/>
        <v>×</v>
      </c>
      <c r="P25" s="75" t="str">
        <f t="shared" si="3"/>
        <v>×</v>
      </c>
      <c r="Q25" s="75" t="str">
        <f t="shared" si="4"/>
        <v>×</v>
      </c>
      <c r="X25" s="75"/>
      <c r="Y25" s="34" t="s">
        <v>26</v>
      </c>
      <c r="Z25" s="116" t="s">
        <v>26</v>
      </c>
      <c r="AA25" s="116"/>
      <c r="AB25" s="34" t="s">
        <v>26</v>
      </c>
      <c r="AC25" s="75"/>
      <c r="AE25" s="75"/>
      <c r="AF25" s="34" t="s">
        <v>26</v>
      </c>
      <c r="AG25" s="116" t="s">
        <v>26</v>
      </c>
      <c r="AH25" s="116"/>
      <c r="AI25" s="34" t="s">
        <v>26</v>
      </c>
      <c r="AJ25" s="75"/>
      <c r="AK25" s="75"/>
      <c r="AL25" s="75"/>
      <c r="AM25" s="34" t="s">
        <v>26</v>
      </c>
      <c r="AN25" s="116" t="s">
        <v>26</v>
      </c>
      <c r="AO25" s="116"/>
      <c r="AP25" s="34" t="s">
        <v>26</v>
      </c>
      <c r="AQ25" s="75"/>
      <c r="AR25" s="75"/>
      <c r="AS25" s="75"/>
      <c r="AT25" s="34" t="s">
        <v>26</v>
      </c>
      <c r="AU25" s="116" t="s">
        <v>26</v>
      </c>
      <c r="AV25" s="116"/>
      <c r="AW25" s="34" t="s">
        <v>26</v>
      </c>
      <c r="AX25" s="75"/>
    </row>
    <row r="26" spans="2:50">
      <c r="B26" s="30"/>
      <c r="C26" s="75">
        <f t="shared" si="5"/>
        <v>0</v>
      </c>
      <c r="D26" s="75">
        <f t="shared" si="6"/>
        <v>0</v>
      </c>
      <c r="E26" s="75">
        <f t="shared" si="7"/>
        <v>0</v>
      </c>
      <c r="F26" s="31">
        <f t="shared" si="15"/>
        <v>0</v>
      </c>
      <c r="G26" s="75">
        <f t="shared" si="11"/>
        <v>0</v>
      </c>
      <c r="H26" s="75">
        <f t="shared" si="12"/>
        <v>0</v>
      </c>
      <c r="I26" s="75">
        <f t="shared" si="13"/>
        <v>0</v>
      </c>
      <c r="J26" s="75">
        <f t="shared" si="14"/>
        <v>0</v>
      </c>
      <c r="L26" s="75">
        <v>14</v>
      </c>
      <c r="M26" s="75" t="str">
        <f t="shared" si="0"/>
        <v>×</v>
      </c>
      <c r="N26" s="75" t="str">
        <f t="shared" si="1"/>
        <v>×</v>
      </c>
      <c r="O26" s="75" t="str">
        <f t="shared" si="2"/>
        <v>×</v>
      </c>
      <c r="P26" s="75" t="str">
        <f t="shared" si="3"/>
        <v>×</v>
      </c>
      <c r="Q26" s="75" t="str">
        <f t="shared" si="4"/>
        <v>×</v>
      </c>
    </row>
    <row r="27" spans="2:50">
      <c r="B27" s="30">
        <v>0</v>
      </c>
      <c r="C27" s="75">
        <f t="shared" si="5"/>
        <v>0</v>
      </c>
      <c r="D27" s="75">
        <f>IF(MOD(B27,8)&gt;3,1,0)</f>
        <v>0</v>
      </c>
      <c r="E27" s="75">
        <f t="shared" si="7"/>
        <v>0</v>
      </c>
      <c r="F27" s="31">
        <f t="shared" si="15"/>
        <v>0</v>
      </c>
      <c r="G27" s="75">
        <f>C12</f>
        <v>0</v>
      </c>
      <c r="H27" s="75">
        <f t="shared" ref="H27:J27" si="20">D12</f>
        <v>0</v>
      </c>
      <c r="I27" s="75">
        <f t="shared" si="20"/>
        <v>0</v>
      </c>
      <c r="J27" s="75">
        <f t="shared" si="20"/>
        <v>0</v>
      </c>
      <c r="L27" s="75">
        <v>15</v>
      </c>
      <c r="M27" s="75" t="str">
        <f t="shared" si="0"/>
        <v>×</v>
      </c>
      <c r="N27" s="75" t="str">
        <f t="shared" si="1"/>
        <v>×</v>
      </c>
      <c r="O27" s="75" t="str">
        <f t="shared" si="2"/>
        <v>×</v>
      </c>
      <c r="P27" s="75" t="str">
        <f t="shared" si="3"/>
        <v>×</v>
      </c>
      <c r="Q27" s="75" t="str">
        <f t="shared" si="4"/>
        <v>×</v>
      </c>
    </row>
    <row r="28" spans="2:50">
      <c r="C28" s="75"/>
      <c r="D28" s="75"/>
      <c r="E28" s="75"/>
      <c r="F28" s="75"/>
    </row>
    <row r="37" spans="21:21">
      <c r="U37" s="75"/>
    </row>
  </sheetData>
  <mergeCells count="33">
    <mergeCell ref="AX22:AX23"/>
    <mergeCell ref="X23:X24"/>
    <mergeCell ref="AE23:AE24"/>
    <mergeCell ref="AL23:AL24"/>
    <mergeCell ref="AS23:AS24"/>
    <mergeCell ref="X21:X22"/>
    <mergeCell ref="Z25:AA25"/>
    <mergeCell ref="AG25:AH25"/>
    <mergeCell ref="AN25:AO25"/>
    <mergeCell ref="AU25:AV25"/>
    <mergeCell ref="AV20:AW20"/>
    <mergeCell ref="AE21:AE22"/>
    <mergeCell ref="AL21:AL22"/>
    <mergeCell ref="AS21:AS22"/>
    <mergeCell ref="AC22:AC23"/>
    <mergeCell ref="AJ22:AJ23"/>
    <mergeCell ref="AQ22:AQ23"/>
    <mergeCell ref="Y20:Z20"/>
    <mergeCell ref="AA20:AB20"/>
    <mergeCell ref="AF20:AG20"/>
    <mergeCell ref="AH20:AI20"/>
    <mergeCell ref="AM20:AN20"/>
    <mergeCell ref="AO20:AP20"/>
    <mergeCell ref="AT20:AU20"/>
    <mergeCell ref="AI15:AJ15"/>
    <mergeCell ref="AP15:AQ15"/>
    <mergeCell ref="AW15:AX15"/>
    <mergeCell ref="AX12:AY12"/>
    <mergeCell ref="AH12:AI12"/>
    <mergeCell ref="AJ12:AK12"/>
    <mergeCell ref="AO12:AP12"/>
    <mergeCell ref="AQ12:AR12"/>
    <mergeCell ref="AV12:AW12"/>
  </mergeCells>
  <phoneticPr fontId="20"/>
  <conditionalFormatting sqref="C12:F28">
    <cfRule type="cellIs" dxfId="10" priority="1" operator="equal">
      <formula>1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Z30"/>
  <sheetViews>
    <sheetView showGridLines="0" zoomScale="85" zoomScaleNormal="85" workbookViewId="0">
      <selection activeCell="G4" sqref="G4"/>
    </sheetView>
  </sheetViews>
  <sheetFormatPr defaultColWidth="6.125" defaultRowHeight="23.25" customHeight="1"/>
  <cols>
    <col min="1" max="16384" width="6.125" style="64"/>
  </cols>
  <sheetData>
    <row r="1" spans="1:26" ht="23.25" customHeight="1">
      <c r="A1" s="62" t="s">
        <v>44</v>
      </c>
      <c r="B1" s="63">
        <v>200</v>
      </c>
    </row>
    <row r="2" spans="1:26" ht="23.25" customHeight="1">
      <c r="A2" s="74" t="s">
        <v>46</v>
      </c>
      <c r="B2" s="94">
        <v>0.1</v>
      </c>
      <c r="C2" s="93">
        <f>B2/2</f>
        <v>0.05</v>
      </c>
    </row>
    <row r="3" spans="1:26" ht="23.25" customHeight="1">
      <c r="A3" s="74"/>
      <c r="B3" s="66"/>
      <c r="C3" s="66"/>
    </row>
    <row r="4" spans="1:26" ht="23.25" customHeight="1">
      <c r="A4" s="65"/>
      <c r="C4" s="67">
        <v>6</v>
      </c>
      <c r="D4" s="63">
        <v>0.01</v>
      </c>
      <c r="E4" s="63" t="s">
        <v>47</v>
      </c>
    </row>
    <row r="5" spans="1:26" ht="23.25" customHeight="1" thickBot="1">
      <c r="D5" s="68">
        <f>D4*10^E5</f>
        <v>1E-8</v>
      </c>
      <c r="E5" s="68">
        <f>IF(E4="M",6,IF(E4="k",3,IF(E4="u",-6,IF(E4="p",-12,0))))</f>
        <v>-6</v>
      </c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</row>
    <row r="6" spans="1:26" ht="23.25" customHeight="1">
      <c r="A6" s="92"/>
      <c r="B6" s="91"/>
      <c r="C6" s="80">
        <v>1</v>
      </c>
      <c r="D6" s="81">
        <v>1.1000000000000001</v>
      </c>
      <c r="E6" s="81">
        <v>1.2000000000000002</v>
      </c>
      <c r="F6" s="81">
        <v>1.3</v>
      </c>
      <c r="G6" s="81">
        <v>1.5</v>
      </c>
      <c r="H6" s="81">
        <v>1.6</v>
      </c>
      <c r="I6" s="81">
        <v>1.8</v>
      </c>
      <c r="J6" s="81">
        <v>2</v>
      </c>
      <c r="K6" s="81">
        <v>2.2000000000000002</v>
      </c>
      <c r="L6" s="81">
        <v>2.4000000000000004</v>
      </c>
      <c r="M6" s="81">
        <v>2.7</v>
      </c>
      <c r="N6" s="81">
        <v>3</v>
      </c>
      <c r="O6" s="81">
        <v>3.3000000000000003</v>
      </c>
      <c r="P6" s="81">
        <v>3.6</v>
      </c>
      <c r="Q6" s="81">
        <v>3.9000000000000004</v>
      </c>
      <c r="R6" s="81">
        <v>4.3</v>
      </c>
      <c r="S6" s="81">
        <v>4.7</v>
      </c>
      <c r="T6" s="81">
        <v>5.1000000000000005</v>
      </c>
      <c r="U6" s="81">
        <v>5.6000000000000005</v>
      </c>
      <c r="V6" s="81">
        <v>6.2</v>
      </c>
      <c r="W6" s="81">
        <v>6.8000000000000007</v>
      </c>
      <c r="X6" s="81">
        <v>7.5</v>
      </c>
      <c r="Y6" s="81">
        <v>8.2000000000000011</v>
      </c>
      <c r="Z6" s="82">
        <v>9.1</v>
      </c>
    </row>
    <row r="7" spans="1:26" ht="23.25" customHeight="1">
      <c r="A7" s="67">
        <v>24</v>
      </c>
      <c r="B7" s="83">
        <v>1</v>
      </c>
      <c r="C7" s="70">
        <f>1/(4*$B7*$A$11*C$6*$D$5)</f>
        <v>2500</v>
      </c>
      <c r="D7" s="71">
        <f t="shared" ref="D7:S22" si="0">1/(4*$B7*$A$11*D$6*$D$5)</f>
        <v>2272.7272727272725</v>
      </c>
      <c r="E7" s="71">
        <f t="shared" si="0"/>
        <v>2083.333333333333</v>
      </c>
      <c r="F7" s="71">
        <f t="shared" si="0"/>
        <v>1923.0769230769229</v>
      </c>
      <c r="G7" s="71">
        <f t="shared" si="0"/>
        <v>1666.6666666666665</v>
      </c>
      <c r="H7" s="71">
        <f t="shared" si="0"/>
        <v>1562.4999999999998</v>
      </c>
      <c r="I7" s="71">
        <f t="shared" si="0"/>
        <v>1388.8888888888889</v>
      </c>
      <c r="J7" s="71">
        <f t="shared" si="0"/>
        <v>1250</v>
      </c>
      <c r="K7" s="71">
        <f t="shared" si="0"/>
        <v>1136.3636363636363</v>
      </c>
      <c r="L7" s="71">
        <f t="shared" si="0"/>
        <v>1041.6666666666665</v>
      </c>
      <c r="M7" s="71">
        <f t="shared" si="0"/>
        <v>925.92592592592587</v>
      </c>
      <c r="N7" s="71">
        <f t="shared" si="0"/>
        <v>833.33333333333326</v>
      </c>
      <c r="O7" s="71">
        <f t="shared" si="0"/>
        <v>757.57575757575762</v>
      </c>
      <c r="P7" s="71">
        <f t="shared" si="0"/>
        <v>694.44444444444446</v>
      </c>
      <c r="Q7" s="71">
        <f t="shared" si="0"/>
        <v>641.02564102564099</v>
      </c>
      <c r="R7" s="71">
        <f t="shared" si="0"/>
        <v>581.39534883720933</v>
      </c>
      <c r="S7" s="71">
        <f t="shared" si="0"/>
        <v>531.91489361702133</v>
      </c>
      <c r="T7" s="71">
        <f t="shared" ref="T7:Z22" si="1">1/(4*$B7*$A$11*T$6*$D$5)</f>
        <v>490.19607843137254</v>
      </c>
      <c r="U7" s="71">
        <f t="shared" si="1"/>
        <v>446.42857142857139</v>
      </c>
      <c r="V7" s="71">
        <f t="shared" si="1"/>
        <v>403.22580645161293</v>
      </c>
      <c r="W7" s="71">
        <f t="shared" si="1"/>
        <v>367.64705882352939</v>
      </c>
      <c r="X7" s="71">
        <f t="shared" si="1"/>
        <v>333.33333333333331</v>
      </c>
      <c r="Y7" s="71">
        <f t="shared" si="1"/>
        <v>304.87804878048775</v>
      </c>
      <c r="Z7" s="84">
        <f t="shared" si="1"/>
        <v>274.72527472527474</v>
      </c>
    </row>
    <row r="8" spans="1:26" ht="23.25" customHeight="1">
      <c r="A8" s="63">
        <v>10</v>
      </c>
      <c r="B8" s="85">
        <v>1.1000000000000001</v>
      </c>
      <c r="C8" s="72">
        <f t="shared" ref="C8:R23" si="2">1/(4*$B8*$A$11*C$6*$D$5)</f>
        <v>2272.7272727272725</v>
      </c>
      <c r="D8" s="73">
        <f t="shared" si="0"/>
        <v>2066.1157024793383</v>
      </c>
      <c r="E8" s="73">
        <f t="shared" si="0"/>
        <v>1893.9393939393938</v>
      </c>
      <c r="F8" s="73">
        <f t="shared" si="0"/>
        <v>1748.2517482517483</v>
      </c>
      <c r="G8" s="73">
        <f t="shared" si="0"/>
        <v>1515.1515151515152</v>
      </c>
      <c r="H8" s="73">
        <f t="shared" si="0"/>
        <v>1420.4545454545455</v>
      </c>
      <c r="I8" s="73">
        <f t="shared" si="0"/>
        <v>1262.6262626262626</v>
      </c>
      <c r="J8" s="73">
        <f t="shared" si="0"/>
        <v>1136.3636363636363</v>
      </c>
      <c r="K8" s="73">
        <f t="shared" si="0"/>
        <v>1033.0578512396692</v>
      </c>
      <c r="L8" s="73">
        <f t="shared" si="0"/>
        <v>946.96969696969688</v>
      </c>
      <c r="M8" s="73">
        <f t="shared" si="0"/>
        <v>841.75084175084157</v>
      </c>
      <c r="N8" s="73">
        <f t="shared" si="0"/>
        <v>757.57575757575762</v>
      </c>
      <c r="O8" s="73">
        <f t="shared" si="0"/>
        <v>688.70523415977959</v>
      </c>
      <c r="P8" s="73">
        <f t="shared" si="0"/>
        <v>631.31313131313129</v>
      </c>
      <c r="Q8" s="73">
        <f t="shared" si="0"/>
        <v>582.75058275058268</v>
      </c>
      <c r="R8" s="73">
        <f t="shared" si="0"/>
        <v>528.54122621564477</v>
      </c>
      <c r="S8" s="73">
        <f t="shared" si="0"/>
        <v>483.55899419729207</v>
      </c>
      <c r="T8" s="73">
        <f t="shared" si="1"/>
        <v>445.63279857397498</v>
      </c>
      <c r="U8" s="73">
        <f t="shared" si="1"/>
        <v>405.84415584415575</v>
      </c>
      <c r="V8" s="73">
        <f t="shared" si="1"/>
        <v>366.56891495601172</v>
      </c>
      <c r="W8" s="73">
        <f t="shared" si="1"/>
        <v>334.22459893048119</v>
      </c>
      <c r="X8" s="73">
        <f t="shared" si="1"/>
        <v>303.03030303030306</v>
      </c>
      <c r="Y8" s="73">
        <f t="shared" si="1"/>
        <v>277.16186252771615</v>
      </c>
      <c r="Z8" s="86">
        <f t="shared" si="1"/>
        <v>249.75024975024976</v>
      </c>
    </row>
    <row r="9" spans="1:26" ht="23.25" customHeight="1">
      <c r="A9" s="63" t="s">
        <v>45</v>
      </c>
      <c r="B9" s="85">
        <v>1.2000000000000002</v>
      </c>
      <c r="C9" s="72">
        <f t="shared" si="2"/>
        <v>2083.333333333333</v>
      </c>
      <c r="D9" s="73">
        <f t="shared" si="0"/>
        <v>1893.9393939393933</v>
      </c>
      <c r="E9" s="73">
        <f t="shared" si="0"/>
        <v>1736.1111111111106</v>
      </c>
      <c r="F9" s="73">
        <f t="shared" si="0"/>
        <v>1602.5641025641021</v>
      </c>
      <c r="G9" s="73">
        <f t="shared" si="0"/>
        <v>1388.8888888888887</v>
      </c>
      <c r="H9" s="73">
        <f t="shared" si="0"/>
        <v>1302.083333333333</v>
      </c>
      <c r="I9" s="73">
        <f t="shared" si="0"/>
        <v>1157.4074074074072</v>
      </c>
      <c r="J9" s="73">
        <f t="shared" si="0"/>
        <v>1041.6666666666665</v>
      </c>
      <c r="K9" s="73">
        <f t="shared" si="0"/>
        <v>946.96969696969666</v>
      </c>
      <c r="L9" s="73">
        <f t="shared" si="0"/>
        <v>868.05555555555532</v>
      </c>
      <c r="M9" s="73">
        <f t="shared" si="0"/>
        <v>771.60493827160474</v>
      </c>
      <c r="N9" s="73">
        <f t="shared" si="0"/>
        <v>694.44444444444434</v>
      </c>
      <c r="O9" s="73">
        <f t="shared" si="0"/>
        <v>631.31313131313118</v>
      </c>
      <c r="P9" s="73">
        <f t="shared" si="0"/>
        <v>578.70370370370358</v>
      </c>
      <c r="Q9" s="73">
        <f t="shared" si="0"/>
        <v>534.18803418803407</v>
      </c>
      <c r="R9" s="73">
        <f t="shared" si="0"/>
        <v>484.4961240310077</v>
      </c>
      <c r="S9" s="73">
        <f t="shared" si="0"/>
        <v>443.26241134751768</v>
      </c>
      <c r="T9" s="73">
        <f t="shared" si="1"/>
        <v>408.49673202614372</v>
      </c>
      <c r="U9" s="73">
        <f t="shared" si="1"/>
        <v>372.0238095238094</v>
      </c>
      <c r="V9" s="73">
        <f t="shared" si="1"/>
        <v>336.02150537634401</v>
      </c>
      <c r="W9" s="73">
        <f t="shared" si="1"/>
        <v>306.37254901960779</v>
      </c>
      <c r="X9" s="73">
        <f t="shared" si="1"/>
        <v>277.77777777777771</v>
      </c>
      <c r="Y9" s="73">
        <f t="shared" si="1"/>
        <v>254.06504065040644</v>
      </c>
      <c r="Z9" s="86">
        <f t="shared" si="1"/>
        <v>228.93772893772891</v>
      </c>
    </row>
    <row r="10" spans="1:26" ht="23.25" customHeight="1">
      <c r="A10" s="68">
        <f>IF(A9="M",6,IF(A9="k",3,IF(A9="u",-6,IF(A9="p",-12,0))))</f>
        <v>3</v>
      </c>
      <c r="B10" s="85">
        <v>1.3</v>
      </c>
      <c r="C10" s="72">
        <f t="shared" si="2"/>
        <v>1923.0769230769229</v>
      </c>
      <c r="D10" s="73">
        <f t="shared" si="0"/>
        <v>1748.2517482517478</v>
      </c>
      <c r="E10" s="73">
        <f t="shared" si="0"/>
        <v>1602.5641025641023</v>
      </c>
      <c r="F10" s="73">
        <f t="shared" si="0"/>
        <v>1479.2899408284022</v>
      </c>
      <c r="G10" s="73">
        <f t="shared" si="0"/>
        <v>1282.051282051282</v>
      </c>
      <c r="H10" s="73">
        <f t="shared" si="0"/>
        <v>1201.9230769230769</v>
      </c>
      <c r="I10" s="73">
        <f t="shared" si="0"/>
        <v>1068.3760683760684</v>
      </c>
      <c r="J10" s="73">
        <f t="shared" si="0"/>
        <v>961.53846153846143</v>
      </c>
      <c r="K10" s="73">
        <f t="shared" si="0"/>
        <v>874.12587412587391</v>
      </c>
      <c r="L10" s="73">
        <f t="shared" si="0"/>
        <v>801.28205128205116</v>
      </c>
      <c r="M10" s="73">
        <f t="shared" si="0"/>
        <v>712.25071225071224</v>
      </c>
      <c r="N10" s="73">
        <f t="shared" si="0"/>
        <v>641.02564102564099</v>
      </c>
      <c r="O10" s="73">
        <f t="shared" si="0"/>
        <v>582.75058275058268</v>
      </c>
      <c r="P10" s="73">
        <f t="shared" si="0"/>
        <v>534.18803418803418</v>
      </c>
      <c r="Q10" s="73">
        <f t="shared" si="0"/>
        <v>493.0966469428007</v>
      </c>
      <c r="R10" s="73">
        <f t="shared" si="0"/>
        <v>447.2271914132379</v>
      </c>
      <c r="S10" s="73">
        <f t="shared" si="0"/>
        <v>409.16530278232403</v>
      </c>
      <c r="T10" s="73">
        <f t="shared" si="1"/>
        <v>377.07390648567122</v>
      </c>
      <c r="U10" s="73">
        <f t="shared" si="1"/>
        <v>343.4065934065934</v>
      </c>
      <c r="V10" s="73">
        <f t="shared" si="1"/>
        <v>310.17369727047145</v>
      </c>
      <c r="W10" s="73">
        <f t="shared" si="1"/>
        <v>282.80542986425337</v>
      </c>
      <c r="X10" s="73">
        <f t="shared" si="1"/>
        <v>256.41025641025641</v>
      </c>
      <c r="Y10" s="73">
        <f t="shared" si="1"/>
        <v>234.52157598499059</v>
      </c>
      <c r="Z10" s="86">
        <f t="shared" si="1"/>
        <v>211.32713440405749</v>
      </c>
    </row>
    <row r="11" spans="1:26" ht="23.25" customHeight="1">
      <c r="A11" s="68">
        <f>A8*10^A10</f>
        <v>10000</v>
      </c>
      <c r="B11" s="85">
        <v>1.5</v>
      </c>
      <c r="C11" s="72">
        <f t="shared" si="2"/>
        <v>1666.6666666666665</v>
      </c>
      <c r="D11" s="73">
        <f t="shared" si="0"/>
        <v>1515.1515151515152</v>
      </c>
      <c r="E11" s="73">
        <f t="shared" si="0"/>
        <v>1388.8888888888887</v>
      </c>
      <c r="F11" s="73">
        <f t="shared" si="0"/>
        <v>1282.051282051282</v>
      </c>
      <c r="G11" s="73">
        <f t="shared" si="0"/>
        <v>1111.1111111111111</v>
      </c>
      <c r="H11" s="73">
        <f t="shared" si="0"/>
        <v>1041.6666666666667</v>
      </c>
      <c r="I11" s="73">
        <f t="shared" si="0"/>
        <v>925.92592592592587</v>
      </c>
      <c r="J11" s="73">
        <f t="shared" si="0"/>
        <v>833.33333333333326</v>
      </c>
      <c r="K11" s="73">
        <f t="shared" si="0"/>
        <v>757.57575757575762</v>
      </c>
      <c r="L11" s="73">
        <f t="shared" si="0"/>
        <v>694.44444444444434</v>
      </c>
      <c r="M11" s="73">
        <f t="shared" si="0"/>
        <v>617.28395061728395</v>
      </c>
      <c r="N11" s="73">
        <f t="shared" si="0"/>
        <v>555.55555555555554</v>
      </c>
      <c r="O11" s="73">
        <f t="shared" si="0"/>
        <v>505.05050505050497</v>
      </c>
      <c r="P11" s="73">
        <f t="shared" si="0"/>
        <v>462.96296296296293</v>
      </c>
      <c r="Q11" s="73">
        <f t="shared" si="0"/>
        <v>427.35042735042725</v>
      </c>
      <c r="R11" s="73">
        <f t="shared" si="0"/>
        <v>387.59689922480618</v>
      </c>
      <c r="S11" s="73">
        <f t="shared" si="0"/>
        <v>354.6099290780142</v>
      </c>
      <c r="T11" s="73">
        <f t="shared" si="1"/>
        <v>326.79738562091495</v>
      </c>
      <c r="U11" s="73">
        <f t="shared" si="1"/>
        <v>297.61904761904759</v>
      </c>
      <c r="V11" s="73">
        <f t="shared" si="1"/>
        <v>268.81720430107526</v>
      </c>
      <c r="W11" s="73">
        <f t="shared" si="1"/>
        <v>245.09803921568627</v>
      </c>
      <c r="X11" s="73">
        <f t="shared" si="1"/>
        <v>222.2222222222222</v>
      </c>
      <c r="Y11" s="73">
        <f t="shared" si="1"/>
        <v>203.25203252032517</v>
      </c>
      <c r="Z11" s="86">
        <f t="shared" si="1"/>
        <v>183.15018315018312</v>
      </c>
    </row>
    <row r="12" spans="1:26" ht="23.25" customHeight="1">
      <c r="A12" s="69"/>
      <c r="B12" s="85">
        <v>1.6</v>
      </c>
      <c r="C12" s="72">
        <f t="shared" si="2"/>
        <v>1562.4999999999998</v>
      </c>
      <c r="D12" s="73">
        <f t="shared" si="0"/>
        <v>1420.4545454545455</v>
      </c>
      <c r="E12" s="73">
        <f t="shared" si="0"/>
        <v>1302.083333333333</v>
      </c>
      <c r="F12" s="73">
        <f t="shared" si="0"/>
        <v>1201.9230769230769</v>
      </c>
      <c r="G12" s="73">
        <f t="shared" si="0"/>
        <v>1041.6666666666667</v>
      </c>
      <c r="H12" s="73">
        <f t="shared" si="0"/>
        <v>976.5625</v>
      </c>
      <c r="I12" s="73">
        <f t="shared" si="0"/>
        <v>868.05555555555554</v>
      </c>
      <c r="J12" s="73">
        <f t="shared" si="0"/>
        <v>781.24999999999989</v>
      </c>
      <c r="K12" s="73">
        <f t="shared" si="0"/>
        <v>710.22727272727275</v>
      </c>
      <c r="L12" s="73">
        <f t="shared" si="0"/>
        <v>651.04166666666652</v>
      </c>
      <c r="M12" s="73">
        <f t="shared" si="0"/>
        <v>578.7037037037037</v>
      </c>
      <c r="N12" s="73">
        <f t="shared" si="0"/>
        <v>520.83333333333337</v>
      </c>
      <c r="O12" s="73">
        <f t="shared" si="0"/>
        <v>473.48484848484844</v>
      </c>
      <c r="P12" s="73">
        <f t="shared" si="0"/>
        <v>434.02777777777777</v>
      </c>
      <c r="Q12" s="73">
        <f t="shared" si="0"/>
        <v>400.64102564102558</v>
      </c>
      <c r="R12" s="73">
        <f t="shared" si="0"/>
        <v>363.37209302325579</v>
      </c>
      <c r="S12" s="73">
        <f t="shared" si="0"/>
        <v>332.44680851063828</v>
      </c>
      <c r="T12" s="73">
        <f t="shared" si="1"/>
        <v>306.37254901960779</v>
      </c>
      <c r="U12" s="73">
        <f t="shared" si="1"/>
        <v>279.01785714285705</v>
      </c>
      <c r="V12" s="73">
        <f t="shared" si="1"/>
        <v>252.01612903225805</v>
      </c>
      <c r="W12" s="73">
        <f t="shared" si="1"/>
        <v>229.77941176470583</v>
      </c>
      <c r="X12" s="73">
        <f t="shared" si="1"/>
        <v>208.33333333333331</v>
      </c>
      <c r="Y12" s="73">
        <f t="shared" si="1"/>
        <v>190.54878048780483</v>
      </c>
      <c r="Z12" s="86">
        <f t="shared" si="1"/>
        <v>171.7032967032967</v>
      </c>
    </row>
    <row r="13" spans="1:26" ht="23.25" customHeight="1">
      <c r="A13" s="69"/>
      <c r="B13" s="85">
        <v>1.8</v>
      </c>
      <c r="C13" s="72">
        <f t="shared" si="2"/>
        <v>1388.8888888888889</v>
      </c>
      <c r="D13" s="73">
        <f t="shared" si="0"/>
        <v>1262.6262626262626</v>
      </c>
      <c r="E13" s="73">
        <f t="shared" si="0"/>
        <v>1157.4074074074072</v>
      </c>
      <c r="F13" s="73">
        <f t="shared" si="0"/>
        <v>1068.3760683760684</v>
      </c>
      <c r="G13" s="73">
        <f t="shared" si="0"/>
        <v>925.92592592592587</v>
      </c>
      <c r="H13" s="73">
        <f t="shared" si="0"/>
        <v>868.05555555555554</v>
      </c>
      <c r="I13" s="73">
        <f t="shared" si="0"/>
        <v>771.60493827160485</v>
      </c>
      <c r="J13" s="73">
        <f t="shared" si="0"/>
        <v>694.44444444444446</v>
      </c>
      <c r="K13" s="73">
        <f t="shared" si="0"/>
        <v>631.31313131313129</v>
      </c>
      <c r="L13" s="73">
        <f t="shared" si="0"/>
        <v>578.70370370370358</v>
      </c>
      <c r="M13" s="73">
        <f t="shared" si="0"/>
        <v>514.40329218107001</v>
      </c>
      <c r="N13" s="73">
        <f t="shared" si="0"/>
        <v>462.96296296296293</v>
      </c>
      <c r="O13" s="73">
        <f t="shared" si="0"/>
        <v>420.87542087542079</v>
      </c>
      <c r="P13" s="73">
        <f t="shared" si="0"/>
        <v>385.80246913580243</v>
      </c>
      <c r="Q13" s="73">
        <f t="shared" si="0"/>
        <v>356.12535612535612</v>
      </c>
      <c r="R13" s="73">
        <f t="shared" si="0"/>
        <v>322.99741602067184</v>
      </c>
      <c r="S13" s="73">
        <f t="shared" si="0"/>
        <v>295.50827423167851</v>
      </c>
      <c r="T13" s="73">
        <f t="shared" si="1"/>
        <v>272.33115468409579</v>
      </c>
      <c r="U13" s="73">
        <f t="shared" si="1"/>
        <v>248.01587301587296</v>
      </c>
      <c r="V13" s="73">
        <f t="shared" si="1"/>
        <v>224.01433691756273</v>
      </c>
      <c r="W13" s="73">
        <f t="shared" si="1"/>
        <v>204.24836601307186</v>
      </c>
      <c r="X13" s="73">
        <f t="shared" si="1"/>
        <v>185.18518518518516</v>
      </c>
      <c r="Y13" s="73">
        <f t="shared" si="1"/>
        <v>169.37669376693762</v>
      </c>
      <c r="Z13" s="86">
        <f t="shared" si="1"/>
        <v>152.62515262515262</v>
      </c>
    </row>
    <row r="14" spans="1:26" ht="23.25" customHeight="1">
      <c r="A14" s="69"/>
      <c r="B14" s="85">
        <v>2</v>
      </c>
      <c r="C14" s="72">
        <f t="shared" si="2"/>
        <v>1250</v>
      </c>
      <c r="D14" s="73">
        <f t="shared" si="0"/>
        <v>1136.3636363636363</v>
      </c>
      <c r="E14" s="73">
        <f t="shared" si="0"/>
        <v>1041.6666666666665</v>
      </c>
      <c r="F14" s="73">
        <f t="shared" si="0"/>
        <v>961.53846153846143</v>
      </c>
      <c r="G14" s="73">
        <f t="shared" si="0"/>
        <v>833.33333333333326</v>
      </c>
      <c r="H14" s="73">
        <f t="shared" si="0"/>
        <v>781.24999999999989</v>
      </c>
      <c r="I14" s="73">
        <f t="shared" si="0"/>
        <v>694.44444444444446</v>
      </c>
      <c r="J14" s="73">
        <f t="shared" si="0"/>
        <v>625</v>
      </c>
      <c r="K14" s="73">
        <f t="shared" si="0"/>
        <v>568.18181818181813</v>
      </c>
      <c r="L14" s="73">
        <f t="shared" si="0"/>
        <v>520.83333333333326</v>
      </c>
      <c r="M14" s="73">
        <f t="shared" si="0"/>
        <v>462.96296296296293</v>
      </c>
      <c r="N14" s="73">
        <f t="shared" si="0"/>
        <v>416.66666666666663</v>
      </c>
      <c r="O14" s="73">
        <f t="shared" si="0"/>
        <v>378.78787878787881</v>
      </c>
      <c r="P14" s="73">
        <f t="shared" si="0"/>
        <v>347.22222222222223</v>
      </c>
      <c r="Q14" s="73">
        <f t="shared" si="0"/>
        <v>320.5128205128205</v>
      </c>
      <c r="R14" s="73">
        <f t="shared" si="0"/>
        <v>290.69767441860466</v>
      </c>
      <c r="S14" s="73">
        <f t="shared" si="0"/>
        <v>265.95744680851067</v>
      </c>
      <c r="T14" s="73">
        <f t="shared" si="1"/>
        <v>245.09803921568627</v>
      </c>
      <c r="U14" s="73">
        <f t="shared" si="1"/>
        <v>223.21428571428569</v>
      </c>
      <c r="V14" s="73">
        <f t="shared" si="1"/>
        <v>201.61290322580646</v>
      </c>
      <c r="W14" s="73">
        <f t="shared" si="1"/>
        <v>183.8235294117647</v>
      </c>
      <c r="X14" s="73">
        <f t="shared" si="1"/>
        <v>166.66666666666666</v>
      </c>
      <c r="Y14" s="73">
        <f t="shared" si="1"/>
        <v>152.43902439024387</v>
      </c>
      <c r="Z14" s="86">
        <f t="shared" si="1"/>
        <v>137.36263736263737</v>
      </c>
    </row>
    <row r="15" spans="1:26" ht="23.25" customHeight="1">
      <c r="A15" s="69"/>
      <c r="B15" s="85">
        <v>2.2000000000000002</v>
      </c>
      <c r="C15" s="72">
        <f t="shared" si="2"/>
        <v>1136.3636363636363</v>
      </c>
      <c r="D15" s="73">
        <f t="shared" si="0"/>
        <v>1033.0578512396692</v>
      </c>
      <c r="E15" s="73">
        <f t="shared" si="0"/>
        <v>946.96969696969688</v>
      </c>
      <c r="F15" s="73">
        <f t="shared" si="0"/>
        <v>874.12587412587413</v>
      </c>
      <c r="G15" s="73">
        <f t="shared" si="0"/>
        <v>757.57575757575762</v>
      </c>
      <c r="H15" s="73">
        <f t="shared" si="0"/>
        <v>710.22727272727275</v>
      </c>
      <c r="I15" s="73">
        <f t="shared" si="0"/>
        <v>631.31313131313129</v>
      </c>
      <c r="J15" s="73">
        <f t="shared" si="0"/>
        <v>568.18181818181813</v>
      </c>
      <c r="K15" s="73">
        <f t="shared" si="0"/>
        <v>516.52892561983458</v>
      </c>
      <c r="L15" s="73">
        <f t="shared" si="0"/>
        <v>473.48484848484844</v>
      </c>
      <c r="M15" s="73">
        <f t="shared" si="0"/>
        <v>420.87542087542079</v>
      </c>
      <c r="N15" s="73">
        <f t="shared" si="0"/>
        <v>378.78787878787881</v>
      </c>
      <c r="O15" s="73">
        <f t="shared" si="0"/>
        <v>344.3526170798898</v>
      </c>
      <c r="P15" s="73">
        <f t="shared" si="0"/>
        <v>315.65656565656565</v>
      </c>
      <c r="Q15" s="73">
        <f t="shared" si="0"/>
        <v>291.37529137529134</v>
      </c>
      <c r="R15" s="73">
        <f t="shared" si="0"/>
        <v>264.27061310782238</v>
      </c>
      <c r="S15" s="73">
        <f t="shared" si="0"/>
        <v>241.77949709864603</v>
      </c>
      <c r="T15" s="73">
        <f t="shared" si="1"/>
        <v>222.81639928698749</v>
      </c>
      <c r="U15" s="73">
        <f t="shared" si="1"/>
        <v>202.92207792207788</v>
      </c>
      <c r="V15" s="73">
        <f t="shared" si="1"/>
        <v>183.28445747800586</v>
      </c>
      <c r="W15" s="73">
        <f t="shared" si="1"/>
        <v>167.1122994652406</v>
      </c>
      <c r="X15" s="73">
        <f t="shared" si="1"/>
        <v>151.51515151515153</v>
      </c>
      <c r="Y15" s="73">
        <f t="shared" si="1"/>
        <v>138.58093126385808</v>
      </c>
      <c r="Z15" s="86">
        <f t="shared" si="1"/>
        <v>124.87512487512488</v>
      </c>
    </row>
    <row r="16" spans="1:26" ht="23.25" customHeight="1">
      <c r="A16" s="69"/>
      <c r="B16" s="85">
        <v>2.4000000000000004</v>
      </c>
      <c r="C16" s="72">
        <f t="shared" si="2"/>
        <v>1041.6666666666665</v>
      </c>
      <c r="D16" s="73">
        <f t="shared" si="0"/>
        <v>946.96969696969666</v>
      </c>
      <c r="E16" s="73">
        <f t="shared" si="0"/>
        <v>868.05555555555532</v>
      </c>
      <c r="F16" s="73">
        <f t="shared" si="0"/>
        <v>801.28205128205104</v>
      </c>
      <c r="G16" s="73">
        <f t="shared" si="0"/>
        <v>694.44444444444434</v>
      </c>
      <c r="H16" s="73">
        <f t="shared" si="0"/>
        <v>651.04166666666652</v>
      </c>
      <c r="I16" s="73">
        <f t="shared" si="0"/>
        <v>578.70370370370358</v>
      </c>
      <c r="J16" s="73">
        <f t="shared" si="0"/>
        <v>520.83333333333326</v>
      </c>
      <c r="K16" s="73">
        <f t="shared" si="0"/>
        <v>473.48484848484833</v>
      </c>
      <c r="L16" s="73">
        <f t="shared" si="0"/>
        <v>434.02777777777766</v>
      </c>
      <c r="M16" s="73">
        <f t="shared" si="0"/>
        <v>385.80246913580237</v>
      </c>
      <c r="N16" s="73">
        <f t="shared" si="0"/>
        <v>347.22222222222217</v>
      </c>
      <c r="O16" s="73">
        <f t="shared" si="0"/>
        <v>315.65656565656559</v>
      </c>
      <c r="P16" s="73">
        <f t="shared" si="0"/>
        <v>289.35185185185179</v>
      </c>
      <c r="Q16" s="73">
        <f t="shared" si="0"/>
        <v>267.09401709401703</v>
      </c>
      <c r="R16" s="73">
        <f t="shared" si="0"/>
        <v>242.24806201550385</v>
      </c>
      <c r="S16" s="73">
        <f t="shared" si="0"/>
        <v>221.63120567375884</v>
      </c>
      <c r="T16" s="73">
        <f t="shared" si="1"/>
        <v>204.24836601307186</v>
      </c>
      <c r="U16" s="73">
        <f t="shared" si="1"/>
        <v>186.0119047619047</v>
      </c>
      <c r="V16" s="73">
        <f t="shared" si="1"/>
        <v>168.010752688172</v>
      </c>
      <c r="W16" s="73">
        <f t="shared" si="1"/>
        <v>153.18627450980389</v>
      </c>
      <c r="X16" s="73">
        <f t="shared" si="1"/>
        <v>138.88888888888886</v>
      </c>
      <c r="Y16" s="73">
        <f t="shared" si="1"/>
        <v>127.03252032520322</v>
      </c>
      <c r="Z16" s="86">
        <f t="shared" si="1"/>
        <v>114.46886446886445</v>
      </c>
    </row>
    <row r="17" spans="1:26" ht="23.25" customHeight="1">
      <c r="A17" s="69"/>
      <c r="B17" s="85">
        <v>2.7</v>
      </c>
      <c r="C17" s="72">
        <f t="shared" si="2"/>
        <v>925.92592592592587</v>
      </c>
      <c r="D17" s="73">
        <f t="shared" si="0"/>
        <v>841.75084175084157</v>
      </c>
      <c r="E17" s="73">
        <f t="shared" si="0"/>
        <v>771.60493827160474</v>
      </c>
      <c r="F17" s="73">
        <f t="shared" si="0"/>
        <v>712.25071225071224</v>
      </c>
      <c r="G17" s="73">
        <f t="shared" si="0"/>
        <v>617.28395061728395</v>
      </c>
      <c r="H17" s="73">
        <f t="shared" si="0"/>
        <v>578.7037037037037</v>
      </c>
      <c r="I17" s="73">
        <f t="shared" si="0"/>
        <v>514.40329218107001</v>
      </c>
      <c r="J17" s="73">
        <f t="shared" si="0"/>
        <v>462.96296296296293</v>
      </c>
      <c r="K17" s="73">
        <f t="shared" si="0"/>
        <v>420.87542087542079</v>
      </c>
      <c r="L17" s="73">
        <f t="shared" si="0"/>
        <v>385.80246913580237</v>
      </c>
      <c r="M17" s="73">
        <f t="shared" si="0"/>
        <v>342.93552812071329</v>
      </c>
      <c r="N17" s="73">
        <f t="shared" si="0"/>
        <v>308.64197530864197</v>
      </c>
      <c r="O17" s="73">
        <f t="shared" si="0"/>
        <v>280.58361391694729</v>
      </c>
      <c r="P17" s="73">
        <f t="shared" si="0"/>
        <v>257.20164609053501</v>
      </c>
      <c r="Q17" s="73">
        <f t="shared" si="0"/>
        <v>237.41690408357073</v>
      </c>
      <c r="R17" s="73">
        <f t="shared" si="0"/>
        <v>215.33161068044791</v>
      </c>
      <c r="S17" s="73">
        <f t="shared" si="0"/>
        <v>197.00551615445232</v>
      </c>
      <c r="T17" s="73">
        <f t="shared" si="1"/>
        <v>181.55410312273057</v>
      </c>
      <c r="U17" s="73">
        <f t="shared" si="1"/>
        <v>165.34391534391534</v>
      </c>
      <c r="V17" s="73">
        <f t="shared" si="1"/>
        <v>149.34289127837513</v>
      </c>
      <c r="W17" s="73">
        <f t="shared" si="1"/>
        <v>136.1655773420479</v>
      </c>
      <c r="X17" s="73">
        <f t="shared" si="1"/>
        <v>123.4567901234568</v>
      </c>
      <c r="Y17" s="73">
        <f t="shared" si="1"/>
        <v>112.9177958446251</v>
      </c>
      <c r="Z17" s="86">
        <f t="shared" si="1"/>
        <v>101.75010175010175</v>
      </c>
    </row>
    <row r="18" spans="1:26" ht="23.25" customHeight="1">
      <c r="A18" s="69"/>
      <c r="B18" s="85">
        <v>3</v>
      </c>
      <c r="C18" s="72">
        <f t="shared" si="2"/>
        <v>833.33333333333326</v>
      </c>
      <c r="D18" s="73">
        <f t="shared" si="0"/>
        <v>757.57575757575762</v>
      </c>
      <c r="E18" s="73">
        <f t="shared" si="0"/>
        <v>694.44444444444434</v>
      </c>
      <c r="F18" s="73">
        <f t="shared" si="0"/>
        <v>641.02564102564099</v>
      </c>
      <c r="G18" s="73">
        <f t="shared" si="0"/>
        <v>555.55555555555554</v>
      </c>
      <c r="H18" s="73">
        <f t="shared" si="0"/>
        <v>520.83333333333337</v>
      </c>
      <c r="I18" s="73">
        <f t="shared" si="0"/>
        <v>462.96296296296293</v>
      </c>
      <c r="J18" s="73">
        <f t="shared" si="0"/>
        <v>416.66666666666663</v>
      </c>
      <c r="K18" s="73">
        <f t="shared" si="0"/>
        <v>378.78787878787881</v>
      </c>
      <c r="L18" s="73">
        <f t="shared" si="0"/>
        <v>347.22222222222217</v>
      </c>
      <c r="M18" s="73">
        <f t="shared" si="0"/>
        <v>308.64197530864197</v>
      </c>
      <c r="N18" s="73">
        <f t="shared" si="0"/>
        <v>277.77777777777777</v>
      </c>
      <c r="O18" s="73">
        <f t="shared" si="0"/>
        <v>252.52525252525248</v>
      </c>
      <c r="P18" s="73">
        <f t="shared" si="0"/>
        <v>231.48148148148147</v>
      </c>
      <c r="Q18" s="73">
        <f t="shared" si="0"/>
        <v>213.67521367521363</v>
      </c>
      <c r="R18" s="73">
        <f t="shared" si="0"/>
        <v>193.79844961240309</v>
      </c>
      <c r="S18" s="73">
        <f t="shared" si="0"/>
        <v>177.3049645390071</v>
      </c>
      <c r="T18" s="73">
        <f t="shared" si="1"/>
        <v>163.39869281045748</v>
      </c>
      <c r="U18" s="73">
        <f t="shared" si="1"/>
        <v>148.8095238095238</v>
      </c>
      <c r="V18" s="73">
        <f t="shared" si="1"/>
        <v>134.40860215053763</v>
      </c>
      <c r="W18" s="73">
        <f t="shared" si="1"/>
        <v>122.54901960784314</v>
      </c>
      <c r="X18" s="73">
        <f t="shared" si="1"/>
        <v>111.1111111111111</v>
      </c>
      <c r="Y18" s="73">
        <f t="shared" si="1"/>
        <v>101.62601626016259</v>
      </c>
      <c r="Z18" s="86">
        <f t="shared" si="1"/>
        <v>91.575091575091562</v>
      </c>
    </row>
    <row r="19" spans="1:26" ht="23.25" customHeight="1">
      <c r="A19" s="69"/>
      <c r="B19" s="85">
        <v>3.3000000000000003</v>
      </c>
      <c r="C19" s="72">
        <f t="shared" si="2"/>
        <v>757.57575757575762</v>
      </c>
      <c r="D19" s="73">
        <f t="shared" si="0"/>
        <v>688.70523415977959</v>
      </c>
      <c r="E19" s="73">
        <f t="shared" si="0"/>
        <v>631.31313131313118</v>
      </c>
      <c r="F19" s="73">
        <f t="shared" si="0"/>
        <v>582.75058275058268</v>
      </c>
      <c r="G19" s="73">
        <f t="shared" si="0"/>
        <v>505.05050505050508</v>
      </c>
      <c r="H19" s="73">
        <f t="shared" si="0"/>
        <v>473.48484848484844</v>
      </c>
      <c r="I19" s="73">
        <f t="shared" si="0"/>
        <v>420.87542087542084</v>
      </c>
      <c r="J19" s="73">
        <f t="shared" si="0"/>
        <v>378.78787878787881</v>
      </c>
      <c r="K19" s="73">
        <f t="shared" si="0"/>
        <v>344.3526170798898</v>
      </c>
      <c r="L19" s="73">
        <f t="shared" si="0"/>
        <v>315.65656565656559</v>
      </c>
      <c r="M19" s="73">
        <f t="shared" si="0"/>
        <v>280.58361391694729</v>
      </c>
      <c r="N19" s="73">
        <f t="shared" si="0"/>
        <v>252.52525252525254</v>
      </c>
      <c r="O19" s="73">
        <f t="shared" si="0"/>
        <v>229.56841138659317</v>
      </c>
      <c r="P19" s="73">
        <f t="shared" si="0"/>
        <v>210.43771043771042</v>
      </c>
      <c r="Q19" s="73">
        <f t="shared" si="0"/>
        <v>194.25019425019423</v>
      </c>
      <c r="R19" s="73">
        <f t="shared" si="0"/>
        <v>176.18040873854827</v>
      </c>
      <c r="S19" s="73">
        <f t="shared" si="0"/>
        <v>161.18633139909736</v>
      </c>
      <c r="T19" s="73">
        <f t="shared" si="1"/>
        <v>148.54426619132499</v>
      </c>
      <c r="U19" s="73">
        <f t="shared" si="1"/>
        <v>135.28138528138527</v>
      </c>
      <c r="V19" s="73">
        <f t="shared" si="1"/>
        <v>122.18963831867057</v>
      </c>
      <c r="W19" s="73">
        <f t="shared" si="1"/>
        <v>111.40819964349375</v>
      </c>
      <c r="X19" s="73">
        <f t="shared" si="1"/>
        <v>101.010101010101</v>
      </c>
      <c r="Y19" s="73">
        <f t="shared" si="1"/>
        <v>92.387287509238718</v>
      </c>
      <c r="Z19" s="86">
        <f t="shared" si="1"/>
        <v>83.25008325008325</v>
      </c>
    </row>
    <row r="20" spans="1:26" ht="23.25" customHeight="1">
      <c r="A20" s="69"/>
      <c r="B20" s="85">
        <v>3.6</v>
      </c>
      <c r="C20" s="72">
        <f t="shared" si="2"/>
        <v>694.44444444444446</v>
      </c>
      <c r="D20" s="73">
        <f t="shared" si="0"/>
        <v>631.31313131313129</v>
      </c>
      <c r="E20" s="73">
        <f t="shared" si="0"/>
        <v>578.70370370370358</v>
      </c>
      <c r="F20" s="73">
        <f t="shared" si="0"/>
        <v>534.18803418803418</v>
      </c>
      <c r="G20" s="73">
        <f t="shared" si="0"/>
        <v>462.96296296296293</v>
      </c>
      <c r="H20" s="73">
        <f t="shared" si="0"/>
        <v>434.02777777777777</v>
      </c>
      <c r="I20" s="73">
        <f t="shared" si="0"/>
        <v>385.80246913580243</v>
      </c>
      <c r="J20" s="73">
        <f t="shared" si="0"/>
        <v>347.22222222222223</v>
      </c>
      <c r="K20" s="73">
        <f t="shared" si="0"/>
        <v>315.65656565656565</v>
      </c>
      <c r="L20" s="73">
        <f t="shared" si="0"/>
        <v>289.35185185185179</v>
      </c>
      <c r="M20" s="73">
        <f t="shared" si="0"/>
        <v>257.20164609053501</v>
      </c>
      <c r="N20" s="73">
        <f t="shared" si="0"/>
        <v>231.48148148148147</v>
      </c>
      <c r="O20" s="73">
        <f t="shared" si="0"/>
        <v>210.43771043771039</v>
      </c>
      <c r="P20" s="73">
        <f t="shared" si="0"/>
        <v>192.90123456790121</v>
      </c>
      <c r="Q20" s="73">
        <f t="shared" si="0"/>
        <v>178.06267806267806</v>
      </c>
      <c r="R20" s="73">
        <f t="shared" si="0"/>
        <v>161.49870801033592</v>
      </c>
      <c r="S20" s="73">
        <f t="shared" si="0"/>
        <v>147.75413711583926</v>
      </c>
      <c r="T20" s="73">
        <f t="shared" si="1"/>
        <v>136.1655773420479</v>
      </c>
      <c r="U20" s="73">
        <f t="shared" si="1"/>
        <v>124.00793650793648</v>
      </c>
      <c r="V20" s="73">
        <f t="shared" si="1"/>
        <v>112.00716845878136</v>
      </c>
      <c r="W20" s="73">
        <f t="shared" si="1"/>
        <v>102.12418300653593</v>
      </c>
      <c r="X20" s="73">
        <f t="shared" si="1"/>
        <v>92.592592592592581</v>
      </c>
      <c r="Y20" s="73">
        <f t="shared" si="1"/>
        <v>84.68834688346881</v>
      </c>
      <c r="Z20" s="86">
        <f t="shared" si="1"/>
        <v>76.312576312576311</v>
      </c>
    </row>
    <row r="21" spans="1:26" ht="23.25" customHeight="1">
      <c r="A21" s="69"/>
      <c r="B21" s="85">
        <v>3.9000000000000004</v>
      </c>
      <c r="C21" s="72">
        <f t="shared" si="2"/>
        <v>641.02564102564099</v>
      </c>
      <c r="D21" s="73">
        <f t="shared" si="0"/>
        <v>582.75058275058268</v>
      </c>
      <c r="E21" s="73">
        <f t="shared" si="0"/>
        <v>534.18803418803407</v>
      </c>
      <c r="F21" s="73">
        <f t="shared" si="0"/>
        <v>493.09664694280082</v>
      </c>
      <c r="G21" s="73">
        <f t="shared" si="0"/>
        <v>427.35042735042731</v>
      </c>
      <c r="H21" s="73">
        <f t="shared" si="0"/>
        <v>400.64102564102564</v>
      </c>
      <c r="I21" s="73">
        <f t="shared" si="0"/>
        <v>356.12535612535612</v>
      </c>
      <c r="J21" s="73">
        <f t="shared" si="0"/>
        <v>320.5128205128205</v>
      </c>
      <c r="K21" s="73">
        <f t="shared" si="0"/>
        <v>291.37529137529134</v>
      </c>
      <c r="L21" s="73">
        <f t="shared" si="0"/>
        <v>267.09401709401703</v>
      </c>
      <c r="M21" s="73">
        <f t="shared" si="0"/>
        <v>237.41690408357073</v>
      </c>
      <c r="N21" s="73">
        <f t="shared" si="0"/>
        <v>213.67521367521366</v>
      </c>
      <c r="O21" s="73">
        <f t="shared" si="0"/>
        <v>194.25019425019423</v>
      </c>
      <c r="P21" s="73">
        <f t="shared" si="0"/>
        <v>178.06267806267806</v>
      </c>
      <c r="Q21" s="73">
        <f t="shared" si="0"/>
        <v>164.3655489809336</v>
      </c>
      <c r="R21" s="73">
        <f t="shared" si="0"/>
        <v>149.07573047107931</v>
      </c>
      <c r="S21" s="73">
        <f t="shared" si="0"/>
        <v>136.38843426077469</v>
      </c>
      <c r="T21" s="73">
        <f t="shared" si="1"/>
        <v>125.69130216189038</v>
      </c>
      <c r="U21" s="73">
        <f t="shared" si="1"/>
        <v>114.46886446886445</v>
      </c>
      <c r="V21" s="73">
        <f t="shared" si="1"/>
        <v>103.39123242349049</v>
      </c>
      <c r="W21" s="73">
        <f t="shared" si="1"/>
        <v>94.268476621417804</v>
      </c>
      <c r="X21" s="73">
        <f t="shared" si="1"/>
        <v>85.470085470085465</v>
      </c>
      <c r="Y21" s="73">
        <f t="shared" si="1"/>
        <v>78.173858661663516</v>
      </c>
      <c r="Z21" s="86">
        <f t="shared" si="1"/>
        <v>70.442378134685825</v>
      </c>
    </row>
    <row r="22" spans="1:26" ht="23.25" customHeight="1">
      <c r="A22" s="69"/>
      <c r="B22" s="85">
        <v>4.3</v>
      </c>
      <c r="C22" s="72">
        <f t="shared" si="2"/>
        <v>581.39534883720933</v>
      </c>
      <c r="D22" s="73">
        <f t="shared" si="0"/>
        <v>528.54122621564477</v>
      </c>
      <c r="E22" s="73">
        <f t="shared" si="0"/>
        <v>484.4961240310077</v>
      </c>
      <c r="F22" s="73">
        <f t="shared" si="0"/>
        <v>447.2271914132379</v>
      </c>
      <c r="G22" s="73">
        <f t="shared" si="0"/>
        <v>387.59689922480618</v>
      </c>
      <c r="H22" s="73">
        <f t="shared" si="0"/>
        <v>363.37209302325579</v>
      </c>
      <c r="I22" s="73">
        <f t="shared" si="0"/>
        <v>322.99741602067184</v>
      </c>
      <c r="J22" s="73">
        <f t="shared" si="0"/>
        <v>290.69767441860466</v>
      </c>
      <c r="K22" s="73">
        <f t="shared" si="0"/>
        <v>264.27061310782238</v>
      </c>
      <c r="L22" s="73">
        <f t="shared" si="0"/>
        <v>242.24806201550385</v>
      </c>
      <c r="M22" s="73">
        <f t="shared" si="0"/>
        <v>215.33161068044785</v>
      </c>
      <c r="N22" s="73">
        <f t="shared" si="0"/>
        <v>193.79844961240309</v>
      </c>
      <c r="O22" s="73">
        <f t="shared" si="0"/>
        <v>176.18040873854827</v>
      </c>
      <c r="P22" s="73">
        <f t="shared" si="0"/>
        <v>161.49870801033592</v>
      </c>
      <c r="Q22" s="73">
        <f t="shared" si="0"/>
        <v>149.07573047107928</v>
      </c>
      <c r="R22" s="73">
        <f t="shared" si="0"/>
        <v>135.20822065981611</v>
      </c>
      <c r="S22" s="73">
        <f t="shared" ref="S22:Z30" si="3">1/(4*$B22*$A$11*S$6*$D$5)</f>
        <v>123.70113805047005</v>
      </c>
      <c r="T22" s="73">
        <f t="shared" si="1"/>
        <v>113.99908800729591</v>
      </c>
      <c r="U22" s="73">
        <f t="shared" si="1"/>
        <v>103.8205980066445</v>
      </c>
      <c r="V22" s="73">
        <f t="shared" si="1"/>
        <v>93.773443360840204</v>
      </c>
      <c r="W22" s="73">
        <f t="shared" si="1"/>
        <v>85.499316005471925</v>
      </c>
      <c r="X22" s="73">
        <f t="shared" si="1"/>
        <v>77.519379844961236</v>
      </c>
      <c r="Y22" s="73">
        <f t="shared" si="1"/>
        <v>70.901871809415752</v>
      </c>
      <c r="Z22" s="86">
        <f t="shared" si="1"/>
        <v>63.889598773319705</v>
      </c>
    </row>
    <row r="23" spans="1:26" ht="23.25" customHeight="1">
      <c r="A23" s="69"/>
      <c r="B23" s="85">
        <v>4.7</v>
      </c>
      <c r="C23" s="72">
        <f t="shared" si="2"/>
        <v>531.91489361702133</v>
      </c>
      <c r="D23" s="73">
        <f t="shared" si="2"/>
        <v>483.55899419729195</v>
      </c>
      <c r="E23" s="73">
        <f t="shared" si="2"/>
        <v>443.26241134751768</v>
      </c>
      <c r="F23" s="73">
        <f t="shared" si="2"/>
        <v>409.16530278232403</v>
      </c>
      <c r="G23" s="73">
        <f t="shared" si="2"/>
        <v>354.6099290780142</v>
      </c>
      <c r="H23" s="73">
        <f t="shared" si="2"/>
        <v>332.44680851063828</v>
      </c>
      <c r="I23" s="73">
        <f t="shared" si="2"/>
        <v>295.50827423167851</v>
      </c>
      <c r="J23" s="73">
        <f t="shared" si="2"/>
        <v>265.95744680851067</v>
      </c>
      <c r="K23" s="73">
        <f t="shared" si="2"/>
        <v>241.77949709864598</v>
      </c>
      <c r="L23" s="73">
        <f t="shared" si="2"/>
        <v>221.63120567375884</v>
      </c>
      <c r="M23" s="73">
        <f t="shared" si="2"/>
        <v>197.00551615445229</v>
      </c>
      <c r="N23" s="73">
        <f t="shared" si="2"/>
        <v>177.3049645390071</v>
      </c>
      <c r="O23" s="73">
        <f t="shared" si="2"/>
        <v>161.18633139909736</v>
      </c>
      <c r="P23" s="73">
        <f t="shared" si="2"/>
        <v>147.75413711583926</v>
      </c>
      <c r="Q23" s="73">
        <f t="shared" si="2"/>
        <v>136.38843426077466</v>
      </c>
      <c r="R23" s="73">
        <f t="shared" si="2"/>
        <v>123.70113805047005</v>
      </c>
      <c r="S23" s="73">
        <f t="shared" si="3"/>
        <v>113.17338162064283</v>
      </c>
      <c r="T23" s="73">
        <f t="shared" si="3"/>
        <v>104.29703796412181</v>
      </c>
      <c r="U23" s="73">
        <f t="shared" si="3"/>
        <v>94.98480243161093</v>
      </c>
      <c r="V23" s="73">
        <f t="shared" si="3"/>
        <v>85.792724776938911</v>
      </c>
      <c r="W23" s="73">
        <f t="shared" si="3"/>
        <v>78.222778473091353</v>
      </c>
      <c r="X23" s="73">
        <f t="shared" si="3"/>
        <v>70.921985815602838</v>
      </c>
      <c r="Y23" s="73">
        <f t="shared" si="3"/>
        <v>64.867669953295263</v>
      </c>
      <c r="Z23" s="86">
        <f t="shared" si="3"/>
        <v>58.452186111760575</v>
      </c>
    </row>
    <row r="24" spans="1:26" ht="23.25" customHeight="1">
      <c r="A24" s="69"/>
      <c r="B24" s="85">
        <v>5.1000000000000005</v>
      </c>
      <c r="C24" s="72">
        <f t="shared" ref="C24:R30" si="4">1/(4*$B24*$A$11*C$6*$D$5)</f>
        <v>490.19607843137254</v>
      </c>
      <c r="D24" s="73">
        <f t="shared" si="4"/>
        <v>445.63279857397487</v>
      </c>
      <c r="E24" s="73">
        <f t="shared" si="4"/>
        <v>408.49673202614372</v>
      </c>
      <c r="F24" s="73">
        <f t="shared" si="4"/>
        <v>377.0739064856711</v>
      </c>
      <c r="G24" s="73">
        <f t="shared" si="4"/>
        <v>326.79738562091495</v>
      </c>
      <c r="H24" s="73">
        <f t="shared" si="4"/>
        <v>306.37254901960779</v>
      </c>
      <c r="I24" s="73">
        <f t="shared" si="4"/>
        <v>272.33115468409579</v>
      </c>
      <c r="J24" s="73">
        <f t="shared" si="4"/>
        <v>245.09803921568627</v>
      </c>
      <c r="K24" s="73">
        <f t="shared" si="4"/>
        <v>222.81639928698743</v>
      </c>
      <c r="L24" s="73">
        <f t="shared" si="4"/>
        <v>204.24836601307186</v>
      </c>
      <c r="M24" s="73">
        <f t="shared" si="4"/>
        <v>181.55410312273051</v>
      </c>
      <c r="N24" s="73">
        <f t="shared" si="4"/>
        <v>163.39869281045748</v>
      </c>
      <c r="O24" s="73">
        <f t="shared" si="4"/>
        <v>148.54426619132499</v>
      </c>
      <c r="P24" s="73">
        <f t="shared" si="4"/>
        <v>136.1655773420479</v>
      </c>
      <c r="Q24" s="73">
        <f t="shared" si="4"/>
        <v>125.69130216189035</v>
      </c>
      <c r="R24" s="73">
        <f t="shared" si="4"/>
        <v>113.99908800729591</v>
      </c>
      <c r="S24" s="73">
        <f t="shared" si="3"/>
        <v>104.29703796412181</v>
      </c>
      <c r="T24" s="73">
        <f t="shared" si="3"/>
        <v>96.116878123798529</v>
      </c>
      <c r="U24" s="73">
        <f t="shared" si="3"/>
        <v>87.535014005602221</v>
      </c>
      <c r="V24" s="73">
        <f t="shared" si="3"/>
        <v>79.063883617963299</v>
      </c>
      <c r="W24" s="73">
        <f t="shared" si="3"/>
        <v>72.087658592848896</v>
      </c>
      <c r="X24" s="73">
        <f t="shared" si="3"/>
        <v>65.359477124182987</v>
      </c>
      <c r="Y24" s="73">
        <f t="shared" si="3"/>
        <v>59.780009564801517</v>
      </c>
      <c r="Z24" s="86">
        <f t="shared" si="3"/>
        <v>53.867700926524442</v>
      </c>
    </row>
    <row r="25" spans="1:26" ht="23.25" customHeight="1">
      <c r="A25" s="69"/>
      <c r="B25" s="85">
        <v>5.6000000000000005</v>
      </c>
      <c r="C25" s="72">
        <f t="shared" si="4"/>
        <v>446.42857142857139</v>
      </c>
      <c r="D25" s="73">
        <f t="shared" si="4"/>
        <v>405.84415584415575</v>
      </c>
      <c r="E25" s="73">
        <f t="shared" si="4"/>
        <v>372.0238095238094</v>
      </c>
      <c r="F25" s="73">
        <f t="shared" si="4"/>
        <v>343.40659340659334</v>
      </c>
      <c r="G25" s="73">
        <f t="shared" si="4"/>
        <v>297.61904761904759</v>
      </c>
      <c r="H25" s="73">
        <f t="shared" si="4"/>
        <v>279.01785714285705</v>
      </c>
      <c r="I25" s="73">
        <f t="shared" si="4"/>
        <v>248.01587301587296</v>
      </c>
      <c r="J25" s="73">
        <f t="shared" si="4"/>
        <v>223.21428571428569</v>
      </c>
      <c r="K25" s="73">
        <f t="shared" si="4"/>
        <v>202.92207792207788</v>
      </c>
      <c r="L25" s="73">
        <f t="shared" si="4"/>
        <v>186.0119047619047</v>
      </c>
      <c r="M25" s="73">
        <f t="shared" si="4"/>
        <v>165.34391534391531</v>
      </c>
      <c r="N25" s="73">
        <f t="shared" si="4"/>
        <v>148.8095238095238</v>
      </c>
      <c r="O25" s="73">
        <f t="shared" si="4"/>
        <v>135.28138528138527</v>
      </c>
      <c r="P25" s="73">
        <f t="shared" si="4"/>
        <v>124.00793650793648</v>
      </c>
      <c r="Q25" s="73">
        <f t="shared" si="4"/>
        <v>114.46886446886444</v>
      </c>
      <c r="R25" s="73">
        <f t="shared" si="4"/>
        <v>103.8205980066445</v>
      </c>
      <c r="S25" s="73">
        <f t="shared" si="3"/>
        <v>94.984802431610916</v>
      </c>
      <c r="T25" s="73">
        <f t="shared" si="3"/>
        <v>87.535014005602221</v>
      </c>
      <c r="U25" s="73">
        <f t="shared" si="3"/>
        <v>79.719387755102019</v>
      </c>
      <c r="V25" s="73">
        <f t="shared" si="3"/>
        <v>72.004608294930861</v>
      </c>
      <c r="W25" s="73">
        <f t="shared" si="3"/>
        <v>65.651260504201659</v>
      </c>
      <c r="X25" s="73">
        <f t="shared" si="3"/>
        <v>59.523809523809518</v>
      </c>
      <c r="Y25" s="73">
        <f t="shared" si="3"/>
        <v>54.442508710801377</v>
      </c>
      <c r="Z25" s="86">
        <f t="shared" si="3"/>
        <v>49.058084772370478</v>
      </c>
    </row>
    <row r="26" spans="1:26" ht="23.25" customHeight="1">
      <c r="A26" s="69"/>
      <c r="B26" s="85">
        <v>6.2</v>
      </c>
      <c r="C26" s="72">
        <f t="shared" si="4"/>
        <v>403.22580645161293</v>
      </c>
      <c r="D26" s="73">
        <f t="shared" si="4"/>
        <v>366.56891495601172</v>
      </c>
      <c r="E26" s="73">
        <f t="shared" si="4"/>
        <v>336.02150537634401</v>
      </c>
      <c r="F26" s="73">
        <f t="shared" si="4"/>
        <v>310.17369727047145</v>
      </c>
      <c r="G26" s="73">
        <f t="shared" si="4"/>
        <v>268.81720430107526</v>
      </c>
      <c r="H26" s="73">
        <f t="shared" si="4"/>
        <v>252.01612903225805</v>
      </c>
      <c r="I26" s="73">
        <f t="shared" si="4"/>
        <v>224.01433691756273</v>
      </c>
      <c r="J26" s="73">
        <f t="shared" si="4"/>
        <v>201.61290322580646</v>
      </c>
      <c r="K26" s="73">
        <f t="shared" si="4"/>
        <v>183.28445747800586</v>
      </c>
      <c r="L26" s="73">
        <f t="shared" si="4"/>
        <v>168.010752688172</v>
      </c>
      <c r="M26" s="73">
        <f t="shared" si="4"/>
        <v>149.34289127837513</v>
      </c>
      <c r="N26" s="73">
        <f t="shared" si="4"/>
        <v>134.40860215053763</v>
      </c>
      <c r="O26" s="73">
        <f t="shared" si="4"/>
        <v>122.18963831867055</v>
      </c>
      <c r="P26" s="73">
        <f t="shared" si="4"/>
        <v>112.00716845878136</v>
      </c>
      <c r="Q26" s="73">
        <f t="shared" si="4"/>
        <v>103.39123242349046</v>
      </c>
      <c r="R26" s="73">
        <f t="shared" si="4"/>
        <v>93.773443360840204</v>
      </c>
      <c r="S26" s="73">
        <f t="shared" si="3"/>
        <v>85.792724776938911</v>
      </c>
      <c r="T26" s="73">
        <f t="shared" si="3"/>
        <v>79.063883617963299</v>
      </c>
      <c r="U26" s="73">
        <f t="shared" si="3"/>
        <v>72.004608294930861</v>
      </c>
      <c r="V26" s="73">
        <f t="shared" si="3"/>
        <v>65.03642039542143</v>
      </c>
      <c r="W26" s="73">
        <f t="shared" si="3"/>
        <v>59.297912713472471</v>
      </c>
      <c r="X26" s="73">
        <f t="shared" si="3"/>
        <v>53.763440860215049</v>
      </c>
      <c r="Y26" s="73">
        <f t="shared" si="3"/>
        <v>49.17387883556254</v>
      </c>
      <c r="Z26" s="86">
        <f t="shared" si="3"/>
        <v>44.310528181495918</v>
      </c>
    </row>
    <row r="27" spans="1:26" ht="23.25" customHeight="1">
      <c r="A27" s="69"/>
      <c r="B27" s="85">
        <v>6.8000000000000007</v>
      </c>
      <c r="C27" s="72">
        <f t="shared" si="4"/>
        <v>367.64705882352939</v>
      </c>
      <c r="D27" s="73">
        <f t="shared" si="4"/>
        <v>334.22459893048131</v>
      </c>
      <c r="E27" s="73">
        <f t="shared" si="4"/>
        <v>306.37254901960779</v>
      </c>
      <c r="F27" s="73">
        <f t="shared" si="4"/>
        <v>282.80542986425337</v>
      </c>
      <c r="G27" s="73">
        <f t="shared" si="4"/>
        <v>245.09803921568627</v>
      </c>
      <c r="H27" s="73">
        <f t="shared" si="4"/>
        <v>229.77941176470588</v>
      </c>
      <c r="I27" s="73">
        <f t="shared" si="4"/>
        <v>204.24836601307189</v>
      </c>
      <c r="J27" s="73">
        <f t="shared" si="4"/>
        <v>183.8235294117647</v>
      </c>
      <c r="K27" s="73">
        <f t="shared" si="4"/>
        <v>167.11229946524065</v>
      </c>
      <c r="L27" s="73">
        <f t="shared" si="4"/>
        <v>153.18627450980389</v>
      </c>
      <c r="M27" s="73">
        <f t="shared" si="4"/>
        <v>136.16557734204792</v>
      </c>
      <c r="N27" s="73">
        <f t="shared" si="4"/>
        <v>122.54901960784314</v>
      </c>
      <c r="O27" s="73">
        <f t="shared" si="4"/>
        <v>111.40819964349375</v>
      </c>
      <c r="P27" s="73">
        <f t="shared" si="4"/>
        <v>102.12418300653594</v>
      </c>
      <c r="Q27" s="73">
        <f t="shared" si="4"/>
        <v>94.268476621417804</v>
      </c>
      <c r="R27" s="73">
        <f t="shared" si="4"/>
        <v>85.499316005471954</v>
      </c>
      <c r="S27" s="73">
        <f t="shared" si="3"/>
        <v>78.222778473091367</v>
      </c>
      <c r="T27" s="73">
        <f t="shared" si="3"/>
        <v>72.087658592848896</v>
      </c>
      <c r="U27" s="73">
        <f t="shared" si="3"/>
        <v>65.651260504201673</v>
      </c>
      <c r="V27" s="73">
        <f t="shared" si="3"/>
        <v>59.297912713472485</v>
      </c>
      <c r="W27" s="73">
        <f t="shared" si="3"/>
        <v>54.065743944636672</v>
      </c>
      <c r="X27" s="73">
        <f t="shared" si="3"/>
        <v>49.019607843137251</v>
      </c>
      <c r="Y27" s="73">
        <f t="shared" si="3"/>
        <v>44.835007173601142</v>
      </c>
      <c r="Z27" s="86">
        <f t="shared" si="3"/>
        <v>40.400775694893341</v>
      </c>
    </row>
    <row r="28" spans="1:26" ht="23.25" customHeight="1">
      <c r="A28" s="69"/>
      <c r="B28" s="85">
        <v>7.5</v>
      </c>
      <c r="C28" s="72">
        <f t="shared" si="4"/>
        <v>333.33333333333331</v>
      </c>
      <c r="D28" s="73">
        <f t="shared" si="4"/>
        <v>303.03030303030306</v>
      </c>
      <c r="E28" s="73">
        <f t="shared" si="4"/>
        <v>277.77777777777771</v>
      </c>
      <c r="F28" s="73">
        <f t="shared" si="4"/>
        <v>256.41025641025641</v>
      </c>
      <c r="G28" s="73">
        <f t="shared" si="4"/>
        <v>222.2222222222222</v>
      </c>
      <c r="H28" s="73">
        <f t="shared" si="4"/>
        <v>208.33333333333331</v>
      </c>
      <c r="I28" s="73">
        <f t="shared" si="4"/>
        <v>185.18518518518516</v>
      </c>
      <c r="J28" s="73">
        <f t="shared" si="4"/>
        <v>166.66666666666666</v>
      </c>
      <c r="K28" s="73">
        <f t="shared" si="4"/>
        <v>151.51515151515153</v>
      </c>
      <c r="L28" s="73">
        <f t="shared" si="4"/>
        <v>138.88888888888886</v>
      </c>
      <c r="M28" s="73">
        <f t="shared" si="4"/>
        <v>123.4567901234568</v>
      </c>
      <c r="N28" s="73">
        <f t="shared" si="4"/>
        <v>111.1111111111111</v>
      </c>
      <c r="O28" s="73">
        <f t="shared" si="4"/>
        <v>101.010101010101</v>
      </c>
      <c r="P28" s="73">
        <f t="shared" si="4"/>
        <v>92.592592592592581</v>
      </c>
      <c r="Q28" s="73">
        <f t="shared" si="4"/>
        <v>85.470085470085465</v>
      </c>
      <c r="R28" s="73">
        <f t="shared" si="4"/>
        <v>77.519379844961236</v>
      </c>
      <c r="S28" s="73">
        <f t="shared" si="3"/>
        <v>70.921985815602838</v>
      </c>
      <c r="T28" s="73">
        <f t="shared" si="3"/>
        <v>65.359477124182987</v>
      </c>
      <c r="U28" s="73">
        <f t="shared" si="3"/>
        <v>59.523809523809518</v>
      </c>
      <c r="V28" s="73">
        <f t="shared" si="3"/>
        <v>53.763440860215049</v>
      </c>
      <c r="W28" s="73">
        <f t="shared" si="3"/>
        <v>49.019607843137251</v>
      </c>
      <c r="X28" s="73">
        <f t="shared" si="3"/>
        <v>44.444444444444443</v>
      </c>
      <c r="Y28" s="73">
        <f t="shared" si="3"/>
        <v>40.650406504065032</v>
      </c>
      <c r="Z28" s="86">
        <f t="shared" si="3"/>
        <v>36.630036630036628</v>
      </c>
    </row>
    <row r="29" spans="1:26" ht="23.25" customHeight="1">
      <c r="A29" s="69"/>
      <c r="B29" s="85">
        <v>8.2000000000000011</v>
      </c>
      <c r="C29" s="72">
        <f t="shared" si="4"/>
        <v>304.87804878048775</v>
      </c>
      <c r="D29" s="73">
        <f t="shared" si="4"/>
        <v>277.1618625277161</v>
      </c>
      <c r="E29" s="73">
        <f t="shared" si="4"/>
        <v>254.06504065040644</v>
      </c>
      <c r="F29" s="73">
        <f t="shared" si="4"/>
        <v>234.52157598499053</v>
      </c>
      <c r="G29" s="73">
        <f t="shared" si="4"/>
        <v>203.25203252032514</v>
      </c>
      <c r="H29" s="73">
        <f t="shared" si="4"/>
        <v>190.54878048780483</v>
      </c>
      <c r="I29" s="73">
        <f t="shared" si="4"/>
        <v>169.37669376693762</v>
      </c>
      <c r="J29" s="73">
        <f t="shared" si="4"/>
        <v>152.43902439024387</v>
      </c>
      <c r="K29" s="73">
        <f t="shared" si="4"/>
        <v>138.58093126385805</v>
      </c>
      <c r="L29" s="73">
        <f t="shared" si="4"/>
        <v>127.03252032520322</v>
      </c>
      <c r="M29" s="73">
        <f t="shared" si="4"/>
        <v>112.91779584462508</v>
      </c>
      <c r="N29" s="73">
        <f t="shared" si="4"/>
        <v>101.62601626016257</v>
      </c>
      <c r="O29" s="73">
        <f t="shared" si="4"/>
        <v>92.387287509238718</v>
      </c>
      <c r="P29" s="73">
        <f t="shared" si="4"/>
        <v>84.68834688346881</v>
      </c>
      <c r="Q29" s="73">
        <f t="shared" si="4"/>
        <v>78.173858661663516</v>
      </c>
      <c r="R29" s="73">
        <f t="shared" si="4"/>
        <v>70.901871809415752</v>
      </c>
      <c r="S29" s="73">
        <f t="shared" si="3"/>
        <v>64.867669953295263</v>
      </c>
      <c r="T29" s="73">
        <f t="shared" si="3"/>
        <v>59.780009564801517</v>
      </c>
      <c r="U29" s="73">
        <f t="shared" si="3"/>
        <v>54.442508710801377</v>
      </c>
      <c r="V29" s="73">
        <f t="shared" si="3"/>
        <v>49.17387883556254</v>
      </c>
      <c r="W29" s="73">
        <f t="shared" si="3"/>
        <v>44.835007173601142</v>
      </c>
      <c r="X29" s="73">
        <f t="shared" si="3"/>
        <v>40.650406504065032</v>
      </c>
      <c r="Y29" s="73">
        <f t="shared" si="3"/>
        <v>37.180249851278987</v>
      </c>
      <c r="Z29" s="86">
        <f t="shared" si="3"/>
        <v>33.50308228357008</v>
      </c>
    </row>
    <row r="30" spans="1:26" ht="23.25" customHeight="1" thickBot="1">
      <c r="A30" s="69"/>
      <c r="B30" s="87">
        <v>9.1</v>
      </c>
      <c r="C30" s="88">
        <f t="shared" si="4"/>
        <v>274.72527472527474</v>
      </c>
      <c r="D30" s="89">
        <f t="shared" si="4"/>
        <v>249.75024975024971</v>
      </c>
      <c r="E30" s="89">
        <f t="shared" si="4"/>
        <v>228.93772893772891</v>
      </c>
      <c r="F30" s="89">
        <f t="shared" si="4"/>
        <v>211.32713440405749</v>
      </c>
      <c r="G30" s="89">
        <f t="shared" si="4"/>
        <v>183.15018315018312</v>
      </c>
      <c r="H30" s="89">
        <f t="shared" si="4"/>
        <v>171.7032967032967</v>
      </c>
      <c r="I30" s="89">
        <f t="shared" si="4"/>
        <v>152.62515262515262</v>
      </c>
      <c r="J30" s="89">
        <f t="shared" si="4"/>
        <v>137.36263736263737</v>
      </c>
      <c r="K30" s="89">
        <f t="shared" si="4"/>
        <v>124.87512487512485</v>
      </c>
      <c r="L30" s="89">
        <f t="shared" si="4"/>
        <v>114.46886446886445</v>
      </c>
      <c r="M30" s="89">
        <f t="shared" si="4"/>
        <v>101.75010175010173</v>
      </c>
      <c r="N30" s="89">
        <f t="shared" si="4"/>
        <v>91.575091575091562</v>
      </c>
      <c r="O30" s="89">
        <f t="shared" si="4"/>
        <v>83.25008325008325</v>
      </c>
      <c r="P30" s="89">
        <f t="shared" si="4"/>
        <v>76.312576312576311</v>
      </c>
      <c r="Q30" s="89">
        <f t="shared" si="4"/>
        <v>70.442378134685811</v>
      </c>
      <c r="R30" s="89">
        <f t="shared" si="4"/>
        <v>63.889598773319705</v>
      </c>
      <c r="S30" s="89">
        <f t="shared" si="3"/>
        <v>58.452186111760575</v>
      </c>
      <c r="T30" s="89">
        <f t="shared" si="3"/>
        <v>53.867700926524442</v>
      </c>
      <c r="U30" s="89">
        <f t="shared" si="3"/>
        <v>49.058084772370478</v>
      </c>
      <c r="V30" s="89">
        <f t="shared" si="3"/>
        <v>44.310528181495918</v>
      </c>
      <c r="W30" s="89">
        <f t="shared" si="3"/>
        <v>40.400775694893333</v>
      </c>
      <c r="X30" s="89">
        <f t="shared" si="3"/>
        <v>36.630036630036628</v>
      </c>
      <c r="Y30" s="89">
        <f t="shared" si="3"/>
        <v>33.50308228357008</v>
      </c>
      <c r="Z30" s="90">
        <f t="shared" si="3"/>
        <v>30.18959062915107</v>
      </c>
    </row>
  </sheetData>
  <phoneticPr fontId="20"/>
  <conditionalFormatting sqref="B10:Z10 B12:Z12 B14:Z14 B16:Z16 B18:Z18 B20:Z20 B22:Z22 B24:Z24 B26:Z26 B28:Z28 B30:Z30 B8:Z8">
    <cfRule type="expression" dxfId="9" priority="3">
      <formula>$A$7&lt;24</formula>
    </cfRule>
  </conditionalFormatting>
  <conditionalFormatting sqref="B13:Z13 B17:Z17 B21:Z21 B25:Z25 B29:Z29 B9:Z9">
    <cfRule type="expression" dxfId="8" priority="6">
      <formula>$A$7&lt;12</formula>
    </cfRule>
  </conditionalFormatting>
  <conditionalFormatting sqref="B19:Z19 B27:Z27 B11:Z11">
    <cfRule type="expression" dxfId="7" priority="5">
      <formula>$A$7&lt;6</formula>
    </cfRule>
  </conditionalFormatting>
  <conditionalFormatting sqref="F6:F30 H6:H30 J6:J30 L6:L30 N6:N30 P6:P30 R6:R30 T6:T30 V6:V30 X6:X30 Z6:Z30 D6:D30">
    <cfRule type="expression" dxfId="6" priority="4">
      <formula>$C$4&lt;24</formula>
    </cfRule>
  </conditionalFormatting>
  <conditionalFormatting sqref="I6:I30 M6:M30 Q6:Q30 U6:U30 Y6:Y30 E6:E30">
    <cfRule type="expression" dxfId="5" priority="1">
      <formula>$C$4&lt;12</formula>
    </cfRule>
  </conditionalFormatting>
  <conditionalFormatting sqref="O6:O30 W6:W30 G6:G30">
    <cfRule type="expression" dxfId="4" priority="2">
      <formula>$C$4&lt;6</formula>
    </cfRule>
  </conditionalFormatting>
  <conditionalFormatting sqref="C7:Z30">
    <cfRule type="cellIs" dxfId="3" priority="8" operator="between">
      <formula>$B$1*(1+$B$2)</formula>
      <formula>$B$1*(1-$B$2)</formula>
    </cfRule>
    <cfRule type="colorScale" priority="74">
      <colorScale>
        <cfvo type="min" val="0"/>
        <cfvo type="formula" val="$B$1"/>
        <cfvo type="max" val="0"/>
        <color rgb="FFC9C9FF"/>
        <color rgb="FFC9FFC9"/>
        <color rgb="FFFFC9C9"/>
      </colorScale>
    </cfRule>
    <cfRule type="cellIs" dxfId="2" priority="7" operator="between">
      <formula>$B$1*(1+$C$2)</formula>
      <formula>$B$1*(1-$C$2)</formula>
    </cfRule>
  </conditionalFormatting>
  <dataValidations count="2">
    <dataValidation type="list" allowBlank="1" showInputMessage="1" showErrorMessage="1" sqref="C4 A7">
      <formula1>"3,6,12,24"</formula1>
    </dataValidation>
    <dataValidation type="list" allowBlank="1" showInputMessage="1" showErrorMessage="1" sqref="E4 A9">
      <formula1>"M,k,-,u,p"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G47"/>
  <sheetViews>
    <sheetView workbookViewId="0">
      <selection activeCell="J16" sqref="J16"/>
    </sheetView>
  </sheetViews>
  <sheetFormatPr defaultRowHeight="13.5" outlineLevelRow="1"/>
  <cols>
    <col min="1" max="1" width="9" style="98"/>
    <col min="2" max="2" width="2.5" style="98" customWidth="1"/>
    <col min="3" max="16384" width="9" style="98"/>
  </cols>
  <sheetData>
    <row r="1" spans="1:7" ht="19.5" thickBot="1">
      <c r="A1" s="103" t="s">
        <v>102</v>
      </c>
      <c r="B1" s="102"/>
      <c r="C1" s="102"/>
      <c r="D1" s="102"/>
      <c r="E1" s="102"/>
      <c r="F1" s="102"/>
      <c r="G1" s="104" t="s">
        <v>114</v>
      </c>
    </row>
    <row r="2" spans="1:7" ht="6.75" customHeight="1">
      <c r="A2" s="101"/>
    </row>
    <row r="3" spans="1:7">
      <c r="A3" s="100" t="s">
        <v>103</v>
      </c>
    </row>
    <row r="5" spans="1:7">
      <c r="A5" s="105" t="s">
        <v>78</v>
      </c>
    </row>
    <row r="6" spans="1:7" outlineLevel="1">
      <c r="A6" s="105"/>
      <c r="B6" s="98" t="s">
        <v>79</v>
      </c>
    </row>
    <row r="7" spans="1:7" outlineLevel="1">
      <c r="A7" s="105"/>
      <c r="B7" s="98" t="s">
        <v>80</v>
      </c>
    </row>
    <row r="8" spans="1:7" outlineLevel="1">
      <c r="A8" s="105"/>
      <c r="B8" s="98" t="s">
        <v>81</v>
      </c>
    </row>
    <row r="9" spans="1:7" outlineLevel="1">
      <c r="A9" s="105"/>
      <c r="B9" s="98" t="s">
        <v>82</v>
      </c>
    </row>
    <row r="10" spans="1:7" ht="6.75" customHeight="1" outlineLevel="1">
      <c r="A10" s="105"/>
    </row>
    <row r="11" spans="1:7">
      <c r="A11" s="105" t="s">
        <v>83</v>
      </c>
    </row>
    <row r="12" spans="1:7" outlineLevel="1">
      <c r="A12" s="105"/>
      <c r="B12" s="99" t="s">
        <v>104</v>
      </c>
    </row>
    <row r="13" spans="1:7" outlineLevel="1">
      <c r="A13" s="105"/>
      <c r="C13" s="99" t="s">
        <v>105</v>
      </c>
    </row>
    <row r="14" spans="1:7" outlineLevel="1">
      <c r="A14" s="105"/>
      <c r="B14" s="98" t="s">
        <v>84</v>
      </c>
    </row>
    <row r="15" spans="1:7" outlineLevel="1">
      <c r="A15" s="105"/>
      <c r="B15" s="98" t="s">
        <v>85</v>
      </c>
    </row>
    <row r="16" spans="1:7" outlineLevel="1">
      <c r="A16" s="105"/>
      <c r="C16" s="99" t="s">
        <v>106</v>
      </c>
    </row>
    <row r="17" spans="1:3" outlineLevel="1">
      <c r="A17" s="105"/>
      <c r="C17" s="99" t="s">
        <v>107</v>
      </c>
    </row>
    <row r="18" spans="1:3" outlineLevel="1">
      <c r="A18" s="105"/>
      <c r="C18" s="98" t="s">
        <v>86</v>
      </c>
    </row>
    <row r="19" spans="1:3" ht="6.75" customHeight="1" outlineLevel="1">
      <c r="A19" s="105"/>
    </row>
    <row r="20" spans="1:3">
      <c r="A20" s="105" t="s">
        <v>87</v>
      </c>
    </row>
    <row r="21" spans="1:3" outlineLevel="1">
      <c r="A21" s="105"/>
      <c r="B21" s="98" t="s">
        <v>88</v>
      </c>
    </row>
    <row r="22" spans="1:3" outlineLevel="1">
      <c r="A22" s="105"/>
      <c r="B22" s="98" t="s">
        <v>89</v>
      </c>
    </row>
    <row r="23" spans="1:3" outlineLevel="1">
      <c r="A23" s="105"/>
      <c r="B23" s="98" t="s">
        <v>90</v>
      </c>
    </row>
    <row r="24" spans="1:3" outlineLevel="1">
      <c r="A24" s="105"/>
      <c r="B24" s="98" t="s">
        <v>91</v>
      </c>
    </row>
    <row r="25" spans="1:3" ht="6.75" customHeight="1" outlineLevel="1">
      <c r="A25" s="105"/>
    </row>
    <row r="26" spans="1:3">
      <c r="A26" s="106" t="s">
        <v>115</v>
      </c>
    </row>
    <row r="27" spans="1:3" outlineLevel="1">
      <c r="A27" s="105"/>
      <c r="B27" s="98" t="s">
        <v>92</v>
      </c>
    </row>
    <row r="28" spans="1:3" outlineLevel="1">
      <c r="A28" s="105"/>
      <c r="B28" s="98" t="s">
        <v>93</v>
      </c>
    </row>
    <row r="29" spans="1:3" ht="6.75" customHeight="1" outlineLevel="1">
      <c r="A29" s="105"/>
    </row>
    <row r="30" spans="1:3">
      <c r="A30" s="105" t="s">
        <v>94</v>
      </c>
    </row>
    <row r="31" spans="1:3" outlineLevel="1">
      <c r="A31" s="105"/>
      <c r="B31" s="98" t="s">
        <v>95</v>
      </c>
    </row>
    <row r="32" spans="1:3" outlineLevel="1">
      <c r="A32" s="105"/>
      <c r="B32" s="98" t="s">
        <v>96</v>
      </c>
    </row>
    <row r="33" spans="1:2" ht="6.75" customHeight="1" outlineLevel="1">
      <c r="A33" s="105"/>
    </row>
    <row r="34" spans="1:2">
      <c r="A34" s="105" t="s">
        <v>97</v>
      </c>
    </row>
    <row r="35" spans="1:2" outlineLevel="1">
      <c r="A35" s="105"/>
      <c r="B35" s="98" t="s">
        <v>98</v>
      </c>
    </row>
    <row r="36" spans="1:2" ht="6.75" customHeight="1" outlineLevel="1">
      <c r="A36" s="105"/>
    </row>
    <row r="37" spans="1:2">
      <c r="A37" s="105" t="s">
        <v>99</v>
      </c>
    </row>
    <row r="38" spans="1:2" outlineLevel="1">
      <c r="A38" s="105"/>
      <c r="B38" s="99" t="s">
        <v>108</v>
      </c>
    </row>
    <row r="39" spans="1:2" outlineLevel="1">
      <c r="A39" s="105"/>
      <c r="B39" s="99" t="s">
        <v>109</v>
      </c>
    </row>
    <row r="40" spans="1:2" ht="6.75" customHeight="1" outlineLevel="1">
      <c r="A40" s="105"/>
      <c r="B40" s="99"/>
    </row>
    <row r="41" spans="1:2">
      <c r="A41" s="105" t="s">
        <v>100</v>
      </c>
    </row>
    <row r="42" spans="1:2" outlineLevel="1">
      <c r="A42" s="105"/>
      <c r="B42" s="99" t="s">
        <v>110</v>
      </c>
    </row>
    <row r="43" spans="1:2" outlineLevel="1">
      <c r="A43" s="105"/>
      <c r="B43" s="98" t="s">
        <v>111</v>
      </c>
    </row>
    <row r="44" spans="1:2" ht="6.75" customHeight="1" outlineLevel="1">
      <c r="A44" s="105"/>
    </row>
    <row r="45" spans="1:2">
      <c r="A45" s="105" t="s">
        <v>101</v>
      </c>
    </row>
    <row r="46" spans="1:2" outlineLevel="1">
      <c r="A46" s="105"/>
      <c r="B46" s="99" t="s">
        <v>112</v>
      </c>
    </row>
    <row r="47" spans="1:2">
      <c r="A47" s="105"/>
      <c r="B47" s="98" t="s">
        <v>113</v>
      </c>
    </row>
  </sheetData>
  <phoneticPr fontId="20"/>
  <printOptions horizontalCentered="1" verticalCentered="1"/>
  <pageMargins left="0.70866141732283472" right="0.70866141732283472" top="0.74803149606299213" bottom="0.74803149606299213" header="0.31496062992125984" footer="0.31496062992125984"/>
  <pageSetup paperSize="11" scale="92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B1:AF37"/>
  <sheetViews>
    <sheetView showGridLines="0" workbookViewId="0">
      <selection activeCell="G11" sqref="G11"/>
    </sheetView>
  </sheetViews>
  <sheetFormatPr defaultColWidth="4" defaultRowHeight="13.5"/>
  <cols>
    <col min="2" max="2" width="4.5" bestFit="1" customWidth="1"/>
    <col min="12" max="18" width="4" customWidth="1"/>
  </cols>
  <sheetData>
    <row r="1" spans="2:32">
      <c r="T1">
        <v>13</v>
      </c>
      <c r="U1">
        <v>15</v>
      </c>
      <c r="V1">
        <v>7</v>
      </c>
      <c r="W1">
        <v>5</v>
      </c>
      <c r="Y1">
        <v>4</v>
      </c>
      <c r="Z1">
        <v>8</v>
      </c>
      <c r="AA1">
        <v>7</v>
      </c>
      <c r="AB1">
        <v>3</v>
      </c>
      <c r="AD1">
        <v>4</v>
      </c>
      <c r="AE1">
        <v>3</v>
      </c>
    </row>
    <row r="2" spans="2:32">
      <c r="T2">
        <v>14</v>
      </c>
      <c r="U2">
        <v>16</v>
      </c>
      <c r="V2">
        <v>8</v>
      </c>
      <c r="W2">
        <v>6</v>
      </c>
      <c r="Y2">
        <v>2</v>
      </c>
      <c r="Z2">
        <v>6</v>
      </c>
      <c r="AA2">
        <v>5</v>
      </c>
      <c r="AB2">
        <v>1</v>
      </c>
      <c r="AD2">
        <v>2</v>
      </c>
      <c r="AE2">
        <v>1</v>
      </c>
    </row>
    <row r="3" spans="2:32">
      <c r="T3">
        <v>10</v>
      </c>
      <c r="U3">
        <v>12</v>
      </c>
      <c r="V3">
        <v>4</v>
      </c>
      <c r="W3">
        <v>2</v>
      </c>
    </row>
    <row r="4" spans="2:32">
      <c r="T4">
        <v>9</v>
      </c>
      <c r="U4">
        <v>11</v>
      </c>
      <c r="V4">
        <v>3</v>
      </c>
      <c r="W4">
        <v>1</v>
      </c>
    </row>
    <row r="6" spans="2:32">
      <c r="B6" t="s">
        <v>34</v>
      </c>
    </row>
    <row r="7" spans="2:32">
      <c r="B7" t="s">
        <v>33</v>
      </c>
    </row>
    <row r="9" spans="2:32">
      <c r="B9" t="s">
        <v>23</v>
      </c>
    </row>
    <row r="10" spans="2:32">
      <c r="B10" s="26" t="s">
        <v>24</v>
      </c>
      <c r="C10" s="27" t="s">
        <v>25</v>
      </c>
      <c r="D10" s="27" t="s">
        <v>26</v>
      </c>
      <c r="E10" s="27" t="s">
        <v>27</v>
      </c>
      <c r="F10" s="28" t="s">
        <v>28</v>
      </c>
      <c r="G10" s="27" t="s">
        <v>29</v>
      </c>
      <c r="H10" s="27" t="s">
        <v>30</v>
      </c>
      <c r="I10" s="27" t="s">
        <v>31</v>
      </c>
      <c r="J10" s="27" t="s">
        <v>32</v>
      </c>
      <c r="K10" s="29"/>
      <c r="L10" s="29"/>
      <c r="M10" s="29"/>
      <c r="N10" s="29"/>
      <c r="O10" s="29"/>
      <c r="P10" s="29"/>
      <c r="Q10" s="29"/>
      <c r="R10" s="29"/>
    </row>
    <row r="11" spans="2:32">
      <c r="B11" s="30">
        <v>0</v>
      </c>
      <c r="C11" s="25">
        <f>IF(B11&gt;7,1,0)</f>
        <v>0</v>
      </c>
      <c r="D11" s="25">
        <f>IF(MOD(B11,8)&gt;3,1,0)</f>
        <v>0</v>
      </c>
      <c r="E11" s="25">
        <f>IF(MOD(B11,4)&gt;1,1,0)</f>
        <v>0</v>
      </c>
      <c r="F11" s="31">
        <f>MOD(B11,2)</f>
        <v>0</v>
      </c>
      <c r="G11" s="25">
        <f t="shared" ref="G11:J25" si="0">IF(C12&lt;&gt;C11,1,0)</f>
        <v>0</v>
      </c>
      <c r="H11" s="25">
        <f t="shared" si="0"/>
        <v>1</v>
      </c>
      <c r="I11" s="25">
        <f t="shared" si="0"/>
        <v>0</v>
      </c>
      <c r="J11" s="25">
        <f>IF(F12&lt;&gt;F11,1,0)</f>
        <v>1</v>
      </c>
      <c r="K11" s="25"/>
      <c r="L11" s="25">
        <v>0</v>
      </c>
      <c r="M11" s="25">
        <f>IF(ISNA(MATCH(L11,$B$11:$B$26,0)),"×",MATCH(L11,$B$11:$B$26,0))</f>
        <v>1</v>
      </c>
      <c r="N11" s="25">
        <f t="shared" ref="N11:Q26" si="1">IF($M11="×","×",INDEX(G$11:G$26,$M11,1))</f>
        <v>0</v>
      </c>
      <c r="O11" s="25">
        <f t="shared" si="1"/>
        <v>1</v>
      </c>
      <c r="P11" s="25">
        <f t="shared" si="1"/>
        <v>0</v>
      </c>
      <c r="Q11" s="25">
        <f t="shared" si="1"/>
        <v>1</v>
      </c>
      <c r="R11" s="25"/>
    </row>
    <row r="12" spans="2:32">
      <c r="B12" s="30">
        <v>5</v>
      </c>
      <c r="C12" s="25">
        <f t="shared" ref="C12:C26" si="2">IF(B12&gt;7,1,0)</f>
        <v>0</v>
      </c>
      <c r="D12" s="25">
        <f t="shared" ref="D12:D25" si="3">IF(MOD(B12,8)&gt;3,1,0)</f>
        <v>1</v>
      </c>
      <c r="E12" s="25">
        <f t="shared" ref="E12:E26" si="4">IF(MOD(B12,4)&gt;1,1,0)</f>
        <v>0</v>
      </c>
      <c r="F12" s="31">
        <f>MOD(B12,2)</f>
        <v>1</v>
      </c>
      <c r="G12" s="25">
        <f t="shared" si="0"/>
        <v>0</v>
      </c>
      <c r="H12" s="25">
        <f t="shared" si="0"/>
        <v>0</v>
      </c>
      <c r="I12" s="25">
        <f t="shared" si="0"/>
        <v>0</v>
      </c>
      <c r="J12" s="25">
        <f>IF(F13&lt;&gt;F12,1,0)</f>
        <v>1</v>
      </c>
      <c r="K12" s="25"/>
      <c r="L12" s="25">
        <v>1</v>
      </c>
      <c r="M12" s="25">
        <f>IF(ISNA(MATCH(L12,$B$11:$B$26,0)),"×",MATCH(L12,$B$11:$B$26,0))</f>
        <v>4</v>
      </c>
      <c r="N12" s="25">
        <f t="shared" si="1"/>
        <v>0</v>
      </c>
      <c r="O12" s="25">
        <f t="shared" si="1"/>
        <v>0</v>
      </c>
      <c r="P12" s="25">
        <f t="shared" si="1"/>
        <v>1</v>
      </c>
      <c r="Q12" s="25">
        <f t="shared" si="1"/>
        <v>1</v>
      </c>
      <c r="R12" s="25"/>
      <c r="T12" s="32" t="s">
        <v>29</v>
      </c>
      <c r="U12" s="114" t="s">
        <v>25</v>
      </c>
      <c r="V12" s="114"/>
      <c r="W12" s="115" t="s">
        <v>25</v>
      </c>
      <c r="X12" s="115"/>
      <c r="Y12" s="25"/>
      <c r="AA12" s="32" t="s">
        <v>30</v>
      </c>
      <c r="AB12" s="114" t="s">
        <v>25</v>
      </c>
      <c r="AC12" s="114"/>
      <c r="AD12" s="115" t="s">
        <v>25</v>
      </c>
      <c r="AE12" s="115"/>
      <c r="AF12" s="25"/>
    </row>
    <row r="13" spans="2:32">
      <c r="B13" s="30">
        <v>4</v>
      </c>
      <c r="C13" s="25">
        <f t="shared" si="2"/>
        <v>0</v>
      </c>
      <c r="D13" s="25">
        <f t="shared" si="3"/>
        <v>1</v>
      </c>
      <c r="E13" s="25">
        <f t="shared" si="4"/>
        <v>0</v>
      </c>
      <c r="F13" s="31">
        <f>MOD(B13,2)</f>
        <v>0</v>
      </c>
      <c r="G13" s="25">
        <f t="shared" si="0"/>
        <v>0</v>
      </c>
      <c r="H13" s="25">
        <f t="shared" si="0"/>
        <v>1</v>
      </c>
      <c r="I13" s="25">
        <f t="shared" si="0"/>
        <v>0</v>
      </c>
      <c r="J13" s="25">
        <f>IF(F14&lt;&gt;F13,1,0)</f>
        <v>1</v>
      </c>
      <c r="K13" s="25"/>
      <c r="L13" s="25">
        <v>2</v>
      </c>
      <c r="M13" s="25">
        <f>IF(ISNA(MATCH(L13,$B$11:$B$26,0)),"×",MATCH(L13,$B$11:$B$26,0))</f>
        <v>5</v>
      </c>
      <c r="N13" s="25">
        <f>IF($M13="×","×",INDEX(G$11:G$26,$M13,1))</f>
        <v>0</v>
      </c>
      <c r="O13" s="25">
        <f t="shared" si="1"/>
        <v>0</v>
      </c>
      <c r="P13" s="25">
        <f t="shared" si="1"/>
        <v>0</v>
      </c>
      <c r="Q13" s="25">
        <f t="shared" si="1"/>
        <v>1</v>
      </c>
      <c r="R13" s="25"/>
      <c r="T13" s="119" t="s">
        <v>26</v>
      </c>
      <c r="U13" s="33">
        <f t="shared" ref="U13:X16" si="5">INDEX($N$11:$N$26,T1,1)</f>
        <v>1</v>
      </c>
      <c r="V13" s="33" t="str">
        <f t="shared" si="5"/>
        <v>×</v>
      </c>
      <c r="W13" s="33" t="str">
        <f t="shared" si="5"/>
        <v>×</v>
      </c>
      <c r="X13" s="33">
        <f t="shared" si="5"/>
        <v>0</v>
      </c>
      <c r="Y13" s="34" t="s">
        <v>28</v>
      </c>
      <c r="AA13" s="119" t="s">
        <v>26</v>
      </c>
      <c r="AB13" s="33">
        <f t="shared" ref="AB13:AE16" si="6">INDEX($O$11:$O$26,T1,1)</f>
        <v>1</v>
      </c>
      <c r="AC13" s="33" t="str">
        <f t="shared" si="6"/>
        <v>×</v>
      </c>
      <c r="AD13" s="33" t="str">
        <f t="shared" si="6"/>
        <v>×</v>
      </c>
      <c r="AE13" s="33">
        <f t="shared" si="6"/>
        <v>1</v>
      </c>
      <c r="AF13" s="34" t="s">
        <v>28</v>
      </c>
    </row>
    <row r="14" spans="2:32">
      <c r="B14" s="30">
        <v>1</v>
      </c>
      <c r="C14" s="25">
        <f>IF(B14&gt;7,1,0)</f>
        <v>0</v>
      </c>
      <c r="D14" s="25">
        <f t="shared" si="3"/>
        <v>0</v>
      </c>
      <c r="E14" s="25">
        <f t="shared" si="4"/>
        <v>0</v>
      </c>
      <c r="F14" s="31">
        <f>MOD(B14,2)</f>
        <v>1</v>
      </c>
      <c r="G14" s="25">
        <f t="shared" si="0"/>
        <v>0</v>
      </c>
      <c r="H14" s="25">
        <f t="shared" si="0"/>
        <v>0</v>
      </c>
      <c r="I14" s="25">
        <f t="shared" si="0"/>
        <v>1</v>
      </c>
      <c r="J14" s="25">
        <f t="shared" si="0"/>
        <v>1</v>
      </c>
      <c r="K14" s="25"/>
      <c r="L14" s="25">
        <v>3</v>
      </c>
      <c r="M14" s="25">
        <f t="shared" ref="M14:M21" si="7">IF(ISNA(MATCH(L14,$B$11:$B$26,0)),"×",MATCH(L14,$B$11:$B$26,0))</f>
        <v>6</v>
      </c>
      <c r="N14" s="25">
        <f t="shared" si="1"/>
        <v>1</v>
      </c>
      <c r="O14" s="25">
        <f t="shared" si="1"/>
        <v>0</v>
      </c>
      <c r="P14" s="25">
        <f t="shared" si="1"/>
        <v>1</v>
      </c>
      <c r="Q14" s="25">
        <f t="shared" si="1"/>
        <v>1</v>
      </c>
      <c r="R14" s="25"/>
      <c r="T14" s="119"/>
      <c r="U14" s="33" t="str">
        <f t="shared" si="5"/>
        <v>×</v>
      </c>
      <c r="V14" s="33" t="str">
        <f t="shared" si="5"/>
        <v>×</v>
      </c>
      <c r="W14" s="33" t="str">
        <f t="shared" si="5"/>
        <v>×</v>
      </c>
      <c r="X14" s="33">
        <f t="shared" si="5"/>
        <v>0</v>
      </c>
      <c r="Y14" s="117" t="s">
        <v>28</v>
      </c>
      <c r="AA14" s="119"/>
      <c r="AB14" s="33" t="str">
        <f t="shared" si="6"/>
        <v>×</v>
      </c>
      <c r="AC14" s="33" t="str">
        <f t="shared" si="6"/>
        <v>×</v>
      </c>
      <c r="AD14" s="33" t="str">
        <f t="shared" si="6"/>
        <v>×</v>
      </c>
      <c r="AE14" s="33">
        <f t="shared" si="6"/>
        <v>0</v>
      </c>
      <c r="AF14" s="117" t="s">
        <v>28</v>
      </c>
    </row>
    <row r="15" spans="2:32">
      <c r="B15" s="30">
        <v>2</v>
      </c>
      <c r="C15" s="25">
        <f t="shared" si="2"/>
        <v>0</v>
      </c>
      <c r="D15" s="25">
        <f t="shared" si="3"/>
        <v>0</v>
      </c>
      <c r="E15" s="25">
        <f t="shared" si="4"/>
        <v>1</v>
      </c>
      <c r="F15" s="31">
        <f t="shared" ref="F15:F26" si="8">MOD(B15,2)</f>
        <v>0</v>
      </c>
      <c r="G15" s="25">
        <f t="shared" si="0"/>
        <v>0</v>
      </c>
      <c r="H15" s="25">
        <f t="shared" si="0"/>
        <v>0</v>
      </c>
      <c r="I15" s="25">
        <f t="shared" si="0"/>
        <v>0</v>
      </c>
      <c r="J15" s="25">
        <f t="shared" si="0"/>
        <v>1</v>
      </c>
      <c r="K15" s="25"/>
      <c r="L15" s="25">
        <v>4</v>
      </c>
      <c r="M15" s="25">
        <f t="shared" si="7"/>
        <v>3</v>
      </c>
      <c r="N15" s="25">
        <f t="shared" si="1"/>
        <v>0</v>
      </c>
      <c r="O15" s="25">
        <f t="shared" si="1"/>
        <v>1</v>
      </c>
      <c r="P15" s="25">
        <f t="shared" si="1"/>
        <v>0</v>
      </c>
      <c r="Q15" s="25">
        <f t="shared" si="1"/>
        <v>1</v>
      </c>
      <c r="R15" s="25"/>
      <c r="T15" s="118" t="s">
        <v>26</v>
      </c>
      <c r="U15" s="33" t="str">
        <f t="shared" si="5"/>
        <v>×</v>
      </c>
      <c r="V15" s="33" t="str">
        <f t="shared" si="5"/>
        <v>×</v>
      </c>
      <c r="W15" s="33">
        <f>INDEX($N$11:$N$26,V3,1)</f>
        <v>1</v>
      </c>
      <c r="X15" s="33">
        <f t="shared" si="5"/>
        <v>0</v>
      </c>
      <c r="Y15" s="117"/>
      <c r="AA15" s="118" t="s">
        <v>26</v>
      </c>
      <c r="AB15" s="33" t="str">
        <f t="shared" si="6"/>
        <v>×</v>
      </c>
      <c r="AC15" s="33" t="str">
        <f t="shared" si="6"/>
        <v>×</v>
      </c>
      <c r="AD15" s="33">
        <f t="shared" si="6"/>
        <v>0</v>
      </c>
      <c r="AE15" s="33">
        <f t="shared" si="6"/>
        <v>0</v>
      </c>
      <c r="AF15" s="117"/>
    </row>
    <row r="16" spans="2:32">
      <c r="B16" s="30">
        <v>3</v>
      </c>
      <c r="C16" s="25">
        <f t="shared" si="2"/>
        <v>0</v>
      </c>
      <c r="D16" s="25">
        <f t="shared" si="3"/>
        <v>0</v>
      </c>
      <c r="E16" s="25">
        <f t="shared" si="4"/>
        <v>1</v>
      </c>
      <c r="F16" s="31">
        <f t="shared" si="8"/>
        <v>1</v>
      </c>
      <c r="G16" s="25">
        <f t="shared" si="0"/>
        <v>1</v>
      </c>
      <c r="H16" s="25">
        <f t="shared" si="0"/>
        <v>0</v>
      </c>
      <c r="I16" s="25">
        <f t="shared" si="0"/>
        <v>1</v>
      </c>
      <c r="J16" s="25">
        <f t="shared" si="0"/>
        <v>1</v>
      </c>
      <c r="K16" s="25"/>
      <c r="L16" s="25">
        <v>5</v>
      </c>
      <c r="M16" s="25">
        <f t="shared" si="7"/>
        <v>2</v>
      </c>
      <c r="N16" s="25">
        <f t="shared" si="1"/>
        <v>0</v>
      </c>
      <c r="O16" s="25">
        <f t="shared" si="1"/>
        <v>0</v>
      </c>
      <c r="P16" s="25">
        <f t="shared" si="1"/>
        <v>0</v>
      </c>
      <c r="Q16" s="25">
        <f t="shared" si="1"/>
        <v>1</v>
      </c>
      <c r="R16" s="25"/>
      <c r="T16" s="118"/>
      <c r="U16" s="33">
        <f t="shared" si="5"/>
        <v>0</v>
      </c>
      <c r="V16" s="33" t="str">
        <f t="shared" si="5"/>
        <v>×</v>
      </c>
      <c r="W16" s="33">
        <f t="shared" si="5"/>
        <v>0</v>
      </c>
      <c r="X16" s="33">
        <f>INDEX($N$11:$N$26,W4,1)</f>
        <v>0</v>
      </c>
      <c r="Y16" s="34" t="s">
        <v>28</v>
      </c>
      <c r="AA16" s="118"/>
      <c r="AB16" s="33">
        <f t="shared" si="6"/>
        <v>0</v>
      </c>
      <c r="AC16" s="33" t="str">
        <f t="shared" si="6"/>
        <v>×</v>
      </c>
      <c r="AD16" s="33">
        <f t="shared" si="6"/>
        <v>0</v>
      </c>
      <c r="AE16" s="33">
        <f t="shared" si="6"/>
        <v>1</v>
      </c>
      <c r="AF16" s="34" t="s">
        <v>28</v>
      </c>
    </row>
    <row r="17" spans="2:32">
      <c r="B17" s="30">
        <v>8</v>
      </c>
      <c r="C17" s="25">
        <f t="shared" si="2"/>
        <v>1</v>
      </c>
      <c r="D17" s="25">
        <f t="shared" si="3"/>
        <v>0</v>
      </c>
      <c r="E17" s="25">
        <f t="shared" si="4"/>
        <v>0</v>
      </c>
      <c r="F17" s="31">
        <f t="shared" si="8"/>
        <v>0</v>
      </c>
      <c r="G17" s="25">
        <f t="shared" si="0"/>
        <v>0</v>
      </c>
      <c r="H17" s="25">
        <f t="shared" si="0"/>
        <v>0</v>
      </c>
      <c r="I17" s="25">
        <f t="shared" si="0"/>
        <v>0</v>
      </c>
      <c r="J17" s="25">
        <f t="shared" si="0"/>
        <v>0</v>
      </c>
      <c r="K17" s="25"/>
      <c r="L17" s="25">
        <v>6</v>
      </c>
      <c r="M17" s="25" t="str">
        <f t="shared" si="7"/>
        <v>×</v>
      </c>
      <c r="N17" s="25" t="str">
        <f t="shared" si="1"/>
        <v>×</v>
      </c>
      <c r="O17" s="25" t="str">
        <f t="shared" si="1"/>
        <v>×</v>
      </c>
      <c r="P17" s="25" t="str">
        <f t="shared" si="1"/>
        <v>×</v>
      </c>
      <c r="Q17" s="25" t="str">
        <f t="shared" si="1"/>
        <v>×</v>
      </c>
      <c r="R17" s="25"/>
      <c r="T17" s="25"/>
      <c r="U17" s="34" t="s">
        <v>27</v>
      </c>
      <c r="V17" s="116" t="s">
        <v>27</v>
      </c>
      <c r="W17" s="116"/>
      <c r="X17" s="34" t="s">
        <v>27</v>
      </c>
      <c r="Y17" s="25"/>
      <c r="AA17" s="25"/>
      <c r="AB17" s="34" t="s">
        <v>27</v>
      </c>
      <c r="AC17" s="116" t="s">
        <v>27</v>
      </c>
      <c r="AD17" s="116"/>
      <c r="AE17" s="34" t="s">
        <v>27</v>
      </c>
      <c r="AF17" s="25"/>
    </row>
    <row r="18" spans="2:32">
      <c r="B18" s="30">
        <v>8</v>
      </c>
      <c r="C18" s="25">
        <f t="shared" si="2"/>
        <v>1</v>
      </c>
      <c r="D18" s="25">
        <f t="shared" si="3"/>
        <v>0</v>
      </c>
      <c r="E18" s="25">
        <f t="shared" si="4"/>
        <v>0</v>
      </c>
      <c r="F18" s="31">
        <f t="shared" si="8"/>
        <v>0</v>
      </c>
      <c r="G18" s="25">
        <f t="shared" si="0"/>
        <v>0</v>
      </c>
      <c r="H18" s="25">
        <f t="shared" si="0"/>
        <v>1</v>
      </c>
      <c r="I18" s="25">
        <f t="shared" si="0"/>
        <v>0</v>
      </c>
      <c r="J18" s="25">
        <f t="shared" si="0"/>
        <v>0</v>
      </c>
      <c r="K18" s="25"/>
      <c r="L18" s="25">
        <v>7</v>
      </c>
      <c r="M18" s="25" t="str">
        <f t="shared" si="7"/>
        <v>×</v>
      </c>
      <c r="N18" s="25" t="str">
        <f t="shared" si="1"/>
        <v>×</v>
      </c>
      <c r="O18" s="25" t="str">
        <f t="shared" si="1"/>
        <v>×</v>
      </c>
      <c r="P18" s="25" t="str">
        <f t="shared" si="1"/>
        <v>×</v>
      </c>
      <c r="Q18" s="25" t="str">
        <f t="shared" si="1"/>
        <v>×</v>
      </c>
      <c r="R18" s="25"/>
    </row>
    <row r="19" spans="2:32">
      <c r="B19" s="30">
        <v>12</v>
      </c>
      <c r="C19" s="25">
        <f t="shared" si="2"/>
        <v>1</v>
      </c>
      <c r="D19" s="25">
        <f t="shared" si="3"/>
        <v>1</v>
      </c>
      <c r="E19" s="25">
        <f t="shared" si="4"/>
        <v>0</v>
      </c>
      <c r="F19" s="31">
        <f t="shared" si="8"/>
        <v>0</v>
      </c>
      <c r="G19" s="25">
        <f t="shared" si="0"/>
        <v>1</v>
      </c>
      <c r="H19" s="25">
        <f t="shared" si="0"/>
        <v>1</v>
      </c>
      <c r="I19" s="25">
        <f t="shared" si="0"/>
        <v>0</v>
      </c>
      <c r="J19" s="25">
        <f t="shared" si="0"/>
        <v>0</v>
      </c>
      <c r="K19" s="25"/>
      <c r="L19" s="25">
        <v>8</v>
      </c>
      <c r="M19" s="25">
        <f>IF(ISNA(MATCH(L19,$B$11:$B$26,0)),"×",MATCH(L19,$B$11:$B$26,0))</f>
        <v>7</v>
      </c>
      <c r="N19" s="25">
        <f t="shared" si="1"/>
        <v>0</v>
      </c>
      <c r="O19" s="25">
        <f t="shared" si="1"/>
        <v>0</v>
      </c>
      <c r="P19" s="25">
        <f t="shared" si="1"/>
        <v>0</v>
      </c>
      <c r="Q19" s="25">
        <f t="shared" si="1"/>
        <v>0</v>
      </c>
      <c r="R19" s="25"/>
      <c r="T19" s="32" t="s">
        <v>31</v>
      </c>
      <c r="U19" s="114" t="s">
        <v>25</v>
      </c>
      <c r="V19" s="114"/>
      <c r="W19" s="115" t="s">
        <v>25</v>
      </c>
      <c r="X19" s="115"/>
      <c r="Y19" s="25"/>
      <c r="AA19" s="32" t="s">
        <v>32</v>
      </c>
      <c r="AB19" s="114" t="s">
        <v>25</v>
      </c>
      <c r="AC19" s="114"/>
      <c r="AD19" s="115" t="s">
        <v>25</v>
      </c>
      <c r="AE19" s="115"/>
      <c r="AF19" s="25"/>
    </row>
    <row r="20" spans="2:32">
      <c r="B20" s="30"/>
      <c r="C20" s="25">
        <f t="shared" si="2"/>
        <v>0</v>
      </c>
      <c r="D20" s="25">
        <f t="shared" si="3"/>
        <v>0</v>
      </c>
      <c r="E20" s="25">
        <f t="shared" si="4"/>
        <v>0</v>
      </c>
      <c r="F20" s="31">
        <f t="shared" si="8"/>
        <v>0</v>
      </c>
      <c r="G20" s="25">
        <f>IF(C21&lt;&gt;C20,1,0)</f>
        <v>0</v>
      </c>
      <c r="H20" s="25">
        <f>IF(D21&lt;&gt;D20,1,0)</f>
        <v>0</v>
      </c>
      <c r="I20" s="25">
        <f t="shared" si="0"/>
        <v>0</v>
      </c>
      <c r="J20" s="25">
        <f t="shared" si="0"/>
        <v>0</v>
      </c>
      <c r="K20" s="25"/>
      <c r="L20" s="25">
        <v>9</v>
      </c>
      <c r="M20" s="25" t="str">
        <f t="shared" si="7"/>
        <v>×</v>
      </c>
      <c r="N20" s="25" t="str">
        <f t="shared" si="1"/>
        <v>×</v>
      </c>
      <c r="O20" s="25" t="str">
        <f t="shared" si="1"/>
        <v>×</v>
      </c>
      <c r="P20" s="25" t="str">
        <f t="shared" si="1"/>
        <v>×</v>
      </c>
      <c r="Q20" s="25" t="str">
        <f t="shared" si="1"/>
        <v>×</v>
      </c>
      <c r="R20" s="25"/>
      <c r="T20" s="119" t="s">
        <v>26</v>
      </c>
      <c r="U20" s="33">
        <f t="shared" ref="U20:X23" si="9">INDEX($P$11:$P$26,T1,1)</f>
        <v>0</v>
      </c>
      <c r="V20" s="33" t="str">
        <f t="shared" si="9"/>
        <v>×</v>
      </c>
      <c r="W20" s="33" t="str">
        <f t="shared" si="9"/>
        <v>×</v>
      </c>
      <c r="X20" s="33">
        <f t="shared" si="9"/>
        <v>0</v>
      </c>
      <c r="Y20" s="34" t="s">
        <v>28</v>
      </c>
      <c r="AA20" s="119" t="s">
        <v>26</v>
      </c>
      <c r="AB20" s="33">
        <f>INDEX(Q$11:Q$26,$T$1,1)</f>
        <v>0</v>
      </c>
      <c r="AC20" s="33" t="str">
        <f>INDEX(Q$11:Q$26,$U$1,1)</f>
        <v>×</v>
      </c>
      <c r="AD20" s="33" t="str">
        <f>INDEX(Q$11:Q$26,$V$1,1)</f>
        <v>×</v>
      </c>
      <c r="AE20" s="33">
        <f>INDEX(Q$11:Q$26,$W$1,1)</f>
        <v>1</v>
      </c>
      <c r="AF20" s="34" t="s">
        <v>28</v>
      </c>
    </row>
    <row r="21" spans="2:32">
      <c r="B21" s="30"/>
      <c r="C21" s="25">
        <f t="shared" si="2"/>
        <v>0</v>
      </c>
      <c r="D21" s="25">
        <f t="shared" si="3"/>
        <v>0</v>
      </c>
      <c r="E21" s="25">
        <f t="shared" si="4"/>
        <v>0</v>
      </c>
      <c r="F21" s="31">
        <f t="shared" si="8"/>
        <v>0</v>
      </c>
      <c r="G21" s="25">
        <f>IF(C22&lt;&gt;C21,1,0)</f>
        <v>0</v>
      </c>
      <c r="H21" s="25">
        <f t="shared" si="0"/>
        <v>0</v>
      </c>
      <c r="I21" s="25">
        <f t="shared" si="0"/>
        <v>0</v>
      </c>
      <c r="J21" s="25">
        <f t="shared" si="0"/>
        <v>0</v>
      </c>
      <c r="K21" s="25"/>
      <c r="L21" s="25">
        <v>10</v>
      </c>
      <c r="M21" s="25" t="str">
        <f t="shared" si="7"/>
        <v>×</v>
      </c>
      <c r="N21" s="25" t="str">
        <f t="shared" si="1"/>
        <v>×</v>
      </c>
      <c r="O21" s="25" t="str">
        <f t="shared" si="1"/>
        <v>×</v>
      </c>
      <c r="P21" s="25" t="str">
        <f t="shared" si="1"/>
        <v>×</v>
      </c>
      <c r="Q21" s="25" t="str">
        <f t="shared" si="1"/>
        <v>×</v>
      </c>
      <c r="R21" s="25"/>
      <c r="T21" s="119"/>
      <c r="U21" s="33" t="str">
        <f t="shared" si="9"/>
        <v>×</v>
      </c>
      <c r="V21" s="33" t="str">
        <f t="shared" si="9"/>
        <v>×</v>
      </c>
      <c r="W21" s="33" t="str">
        <f t="shared" si="9"/>
        <v>×</v>
      </c>
      <c r="X21" s="33">
        <f t="shared" si="9"/>
        <v>0</v>
      </c>
      <c r="Y21" s="117" t="s">
        <v>28</v>
      </c>
      <c r="AA21" s="119"/>
      <c r="AB21" s="33" t="str">
        <f>INDEX(Q$11:Q$26,$T$2,1)</f>
        <v>×</v>
      </c>
      <c r="AC21" s="33" t="str">
        <f>INDEX(Q$11:Q$26,$U$2,1)</f>
        <v>×</v>
      </c>
      <c r="AD21" s="33" t="str">
        <f>INDEX(Q$11:Q$26,$V$2,1)</f>
        <v>×</v>
      </c>
      <c r="AE21" s="33">
        <f>INDEX(Q$11:Q$26,$W$2,1)</f>
        <v>1</v>
      </c>
      <c r="AF21" s="117" t="s">
        <v>28</v>
      </c>
    </row>
    <row r="22" spans="2:32">
      <c r="B22" s="30"/>
      <c r="C22" s="25">
        <f t="shared" si="2"/>
        <v>0</v>
      </c>
      <c r="D22" s="25">
        <f t="shared" si="3"/>
        <v>0</v>
      </c>
      <c r="E22" s="25">
        <f t="shared" si="4"/>
        <v>0</v>
      </c>
      <c r="F22" s="31">
        <f t="shared" si="8"/>
        <v>0</v>
      </c>
      <c r="G22" s="25">
        <f t="shared" si="0"/>
        <v>0</v>
      </c>
      <c r="H22" s="25">
        <f t="shared" si="0"/>
        <v>0</v>
      </c>
      <c r="I22" s="25">
        <f t="shared" si="0"/>
        <v>0</v>
      </c>
      <c r="J22" s="25">
        <f t="shared" si="0"/>
        <v>0</v>
      </c>
      <c r="K22" s="25"/>
      <c r="L22" s="25">
        <v>11</v>
      </c>
      <c r="M22" s="25" t="str">
        <f>IF(ISNA(MATCH(L22,$B$11:$B$26,0)),"×",MATCH(L22,$B$11:$B$26,0))</f>
        <v>×</v>
      </c>
      <c r="N22" s="25" t="str">
        <f t="shared" si="1"/>
        <v>×</v>
      </c>
      <c r="O22" s="25" t="str">
        <f t="shared" si="1"/>
        <v>×</v>
      </c>
      <c r="P22" s="25" t="str">
        <f t="shared" si="1"/>
        <v>×</v>
      </c>
      <c r="Q22" s="25" t="str">
        <f t="shared" si="1"/>
        <v>×</v>
      </c>
      <c r="R22" s="25"/>
      <c r="T22" s="118" t="s">
        <v>26</v>
      </c>
      <c r="U22" s="33" t="str">
        <f t="shared" si="9"/>
        <v>×</v>
      </c>
      <c r="V22" s="33" t="str">
        <f t="shared" si="9"/>
        <v>×</v>
      </c>
      <c r="W22" s="33">
        <f t="shared" si="9"/>
        <v>1</v>
      </c>
      <c r="X22" s="33">
        <f t="shared" si="9"/>
        <v>1</v>
      </c>
      <c r="Y22" s="117"/>
      <c r="AA22" s="118" t="s">
        <v>26</v>
      </c>
      <c r="AB22" s="33" t="str">
        <f>INDEX(Q$11:Q$26,$T$3,1)</f>
        <v>×</v>
      </c>
      <c r="AC22" s="33" t="str">
        <f>INDEX(Q$11:Q$26,$U$3,1)</f>
        <v>×</v>
      </c>
      <c r="AD22" s="33">
        <f>INDEX(Q$11:Q$26,$V$3,1)</f>
        <v>1</v>
      </c>
      <c r="AE22" s="33">
        <f>INDEX(Q$11:Q$26,$W$3,1)</f>
        <v>1</v>
      </c>
      <c r="AF22" s="117"/>
    </row>
    <row r="23" spans="2:32">
      <c r="B23" s="30"/>
      <c r="C23" s="25">
        <f t="shared" si="2"/>
        <v>0</v>
      </c>
      <c r="D23" s="25">
        <f t="shared" si="3"/>
        <v>0</v>
      </c>
      <c r="E23" s="25">
        <f t="shared" si="4"/>
        <v>0</v>
      </c>
      <c r="F23" s="31">
        <f t="shared" si="8"/>
        <v>0</v>
      </c>
      <c r="G23" s="25">
        <f t="shared" si="0"/>
        <v>0</v>
      </c>
      <c r="H23" s="25">
        <f t="shared" si="0"/>
        <v>0</v>
      </c>
      <c r="I23" s="25">
        <f t="shared" si="0"/>
        <v>0</v>
      </c>
      <c r="J23" s="25">
        <f t="shared" si="0"/>
        <v>0</v>
      </c>
      <c r="K23" s="25"/>
      <c r="L23" s="25">
        <v>12</v>
      </c>
      <c r="M23" s="25">
        <f>IF(ISNA(MATCH(L23,$B$11:$B$26,0)),"×",MATCH(L23,$B$11:$B$26,0))</f>
        <v>9</v>
      </c>
      <c r="N23" s="25">
        <f t="shared" si="1"/>
        <v>1</v>
      </c>
      <c r="O23" s="25">
        <f t="shared" si="1"/>
        <v>1</v>
      </c>
      <c r="P23" s="25">
        <f t="shared" si="1"/>
        <v>0</v>
      </c>
      <c r="Q23" s="25">
        <f t="shared" si="1"/>
        <v>0</v>
      </c>
      <c r="R23" s="25"/>
      <c r="T23" s="118"/>
      <c r="U23" s="33">
        <f t="shared" si="9"/>
        <v>0</v>
      </c>
      <c r="V23" s="33" t="str">
        <f t="shared" si="9"/>
        <v>×</v>
      </c>
      <c r="W23" s="33">
        <f t="shared" si="9"/>
        <v>0</v>
      </c>
      <c r="X23" s="33">
        <f t="shared" si="9"/>
        <v>0</v>
      </c>
      <c r="Y23" s="34" t="s">
        <v>28</v>
      </c>
      <c r="AA23" s="118"/>
      <c r="AB23" s="33">
        <f>INDEX(Q$11:Q$26,$T$4,1)</f>
        <v>0</v>
      </c>
      <c r="AC23" s="33" t="str">
        <f>INDEX(Q$11:Q$26,$U$4,1)</f>
        <v>×</v>
      </c>
      <c r="AD23" s="33">
        <f>INDEX(Q$11:Q$26,$V$4,1)</f>
        <v>1</v>
      </c>
      <c r="AE23" s="33">
        <f>INDEX(Q$11:Q$26,$W$4,1)</f>
        <v>1</v>
      </c>
      <c r="AF23" s="34" t="s">
        <v>28</v>
      </c>
    </row>
    <row r="24" spans="2:32">
      <c r="B24" s="30"/>
      <c r="C24" s="25">
        <f t="shared" si="2"/>
        <v>0</v>
      </c>
      <c r="D24" s="25">
        <f t="shared" si="3"/>
        <v>0</v>
      </c>
      <c r="E24" s="25">
        <f t="shared" si="4"/>
        <v>0</v>
      </c>
      <c r="F24" s="31">
        <f t="shared" si="8"/>
        <v>0</v>
      </c>
      <c r="G24" s="25">
        <f t="shared" si="0"/>
        <v>0</v>
      </c>
      <c r="H24" s="25">
        <f>IF(D25&lt;&gt;D24,1,0)</f>
        <v>0</v>
      </c>
      <c r="I24" s="25">
        <f t="shared" si="0"/>
        <v>0</v>
      </c>
      <c r="J24" s="25">
        <f t="shared" si="0"/>
        <v>0</v>
      </c>
      <c r="K24" s="25"/>
      <c r="L24" s="25">
        <v>13</v>
      </c>
      <c r="M24" s="25" t="str">
        <f>IF(ISNA(MATCH(L24,$B$11:$B$26,0)),"×",MATCH(L24,$B$11:$B$26,0))</f>
        <v>×</v>
      </c>
      <c r="N24" s="25" t="str">
        <f t="shared" si="1"/>
        <v>×</v>
      </c>
      <c r="O24" s="25" t="str">
        <f t="shared" si="1"/>
        <v>×</v>
      </c>
      <c r="P24" s="25" t="str">
        <f t="shared" si="1"/>
        <v>×</v>
      </c>
      <c r="Q24" s="25" t="str">
        <f t="shared" si="1"/>
        <v>×</v>
      </c>
      <c r="R24" s="25"/>
      <c r="T24" s="25"/>
      <c r="U24" s="34" t="s">
        <v>27</v>
      </c>
      <c r="V24" s="116" t="s">
        <v>27</v>
      </c>
      <c r="W24" s="116"/>
      <c r="X24" s="34" t="s">
        <v>27</v>
      </c>
      <c r="Y24" s="25"/>
      <c r="AA24" s="25"/>
      <c r="AB24" s="34" t="s">
        <v>27</v>
      </c>
      <c r="AC24" s="116" t="s">
        <v>27</v>
      </c>
      <c r="AD24" s="116"/>
      <c r="AE24" s="34" t="s">
        <v>27</v>
      </c>
      <c r="AF24" s="25"/>
    </row>
    <row r="25" spans="2:32">
      <c r="B25" s="30"/>
      <c r="C25" s="25">
        <f t="shared" si="2"/>
        <v>0</v>
      </c>
      <c r="D25" s="25">
        <f t="shared" si="3"/>
        <v>0</v>
      </c>
      <c r="E25" s="25">
        <f t="shared" si="4"/>
        <v>0</v>
      </c>
      <c r="F25" s="31">
        <f t="shared" si="8"/>
        <v>0</v>
      </c>
      <c r="G25" s="25">
        <f t="shared" si="0"/>
        <v>0</v>
      </c>
      <c r="H25" s="25">
        <f>IF(D26&lt;&gt;D25,1,0)</f>
        <v>0</v>
      </c>
      <c r="I25" s="25">
        <f t="shared" si="0"/>
        <v>0</v>
      </c>
      <c r="J25" s="25">
        <f t="shared" si="0"/>
        <v>0</v>
      </c>
      <c r="K25" s="25"/>
      <c r="L25" s="25">
        <v>14</v>
      </c>
      <c r="M25" s="25" t="str">
        <f>IF(ISNA(MATCH(L25,$B$11:$B$26,0)),"×",MATCH(L25,$B$11:$B$26,0))</f>
        <v>×</v>
      </c>
      <c r="N25" s="25" t="str">
        <f t="shared" si="1"/>
        <v>×</v>
      </c>
      <c r="O25" s="25" t="str">
        <f t="shared" si="1"/>
        <v>×</v>
      </c>
      <c r="P25" s="25" t="str">
        <f t="shared" si="1"/>
        <v>×</v>
      </c>
      <c r="Q25" s="25" t="str">
        <f t="shared" si="1"/>
        <v>×</v>
      </c>
      <c r="R25" s="25"/>
    </row>
    <row r="26" spans="2:32">
      <c r="B26" s="30"/>
      <c r="C26" s="25">
        <f t="shared" si="2"/>
        <v>0</v>
      </c>
      <c r="D26" s="25">
        <f>IF(MOD(B26,8)&gt;3,1,0)</f>
        <v>0</v>
      </c>
      <c r="E26" s="25">
        <f t="shared" si="4"/>
        <v>0</v>
      </c>
      <c r="F26" s="31">
        <f t="shared" si="8"/>
        <v>0</v>
      </c>
      <c r="G26" s="25">
        <f>IF(C11&lt;&gt;C26,1,0)</f>
        <v>0</v>
      </c>
      <c r="H26" s="25">
        <f>IF(D11&lt;&gt;D26,1,0)</f>
        <v>0</v>
      </c>
      <c r="I26" s="25">
        <f>IF(E11&lt;&gt;E26,1,0)</f>
        <v>0</v>
      </c>
      <c r="J26" s="25">
        <f>IF(F11&lt;&gt;F26,1,0)</f>
        <v>0</v>
      </c>
      <c r="K26" s="25"/>
      <c r="L26" s="25">
        <v>15</v>
      </c>
      <c r="M26" s="25" t="str">
        <f>IF(ISNA(MATCH(L26,$B$11:$B$26,0)),"×",MATCH(L26,$B$11:$B$26,0))</f>
        <v>×</v>
      </c>
      <c r="N26" s="25" t="str">
        <f>IF($M26="×","×",INDEX(G$11:G$26,$M26,1))</f>
        <v>×</v>
      </c>
      <c r="O26" s="25" t="str">
        <f t="shared" si="1"/>
        <v>×</v>
      </c>
      <c r="P26" s="25" t="str">
        <f t="shared" si="1"/>
        <v>×</v>
      </c>
      <c r="Q26" s="25" t="str">
        <f t="shared" si="1"/>
        <v>×</v>
      </c>
      <c r="R26" s="25"/>
    </row>
    <row r="27" spans="2:32">
      <c r="S27" s="25"/>
    </row>
    <row r="29" spans="2:32">
      <c r="C29" s="32" t="s">
        <v>32</v>
      </c>
      <c r="D29" s="27" t="s">
        <v>28</v>
      </c>
      <c r="E29" s="35" t="s">
        <v>28</v>
      </c>
      <c r="G29" s="32" t="s">
        <v>31</v>
      </c>
      <c r="H29" s="27" t="s">
        <v>28</v>
      </c>
      <c r="I29" s="35" t="s">
        <v>28</v>
      </c>
      <c r="T29" s="32" t="s">
        <v>32</v>
      </c>
      <c r="U29" s="114" t="s">
        <v>28</v>
      </c>
      <c r="V29" s="114"/>
      <c r="W29" s="115" t="s">
        <v>28</v>
      </c>
      <c r="X29" s="115"/>
      <c r="AA29" s="32" t="s">
        <v>31</v>
      </c>
      <c r="AB29" s="114" t="s">
        <v>28</v>
      </c>
      <c r="AC29" s="114"/>
      <c r="AD29" s="115" t="s">
        <v>28</v>
      </c>
      <c r="AE29" s="115"/>
    </row>
    <row r="30" spans="2:32">
      <c r="C30" s="36" t="s">
        <v>27</v>
      </c>
      <c r="D30" s="33">
        <f>INDEX($Q$11:$Q$26,AD1,1)</f>
        <v>1</v>
      </c>
      <c r="E30" s="33">
        <f>INDEX($Q$11:$Q$26,AE1,1)</f>
        <v>1</v>
      </c>
      <c r="G30" s="36" t="s">
        <v>27</v>
      </c>
      <c r="H30" s="33">
        <f>INDEX($P$11:$P$26,AD1,1)</f>
        <v>1</v>
      </c>
      <c r="I30" s="33">
        <f>INDEX($P$11:$P$26,AE1,1)</f>
        <v>0</v>
      </c>
      <c r="T30" s="36" t="s">
        <v>27</v>
      </c>
      <c r="U30" s="33">
        <f t="shared" ref="U30:X31" si="10">INDEX($Q$11:$Q$26,Y1,1)</f>
        <v>1</v>
      </c>
      <c r="V30" s="33" t="str">
        <f t="shared" si="10"/>
        <v>×</v>
      </c>
      <c r="W30" s="33" t="str">
        <f t="shared" si="10"/>
        <v>×</v>
      </c>
      <c r="X30" s="33">
        <f t="shared" si="10"/>
        <v>1</v>
      </c>
      <c r="AA30" s="36" t="s">
        <v>27</v>
      </c>
      <c r="AB30" s="33">
        <f t="shared" ref="AB30:AE31" si="11">INDEX($P$11:$P$26,Y1,1)</f>
        <v>1</v>
      </c>
      <c r="AC30" s="33" t="str">
        <f t="shared" si="11"/>
        <v>×</v>
      </c>
      <c r="AD30" s="33" t="str">
        <f t="shared" si="11"/>
        <v>×</v>
      </c>
      <c r="AE30" s="33">
        <f t="shared" si="11"/>
        <v>0</v>
      </c>
    </row>
    <row r="31" spans="2:32">
      <c r="C31" s="37" t="s">
        <v>27</v>
      </c>
      <c r="D31" s="33">
        <f>INDEX($Q$11:$Q$26,AD2,1)</f>
        <v>1</v>
      </c>
      <c r="E31" s="33">
        <f>INDEX($Q$11:$Q$26,AE2,1)</f>
        <v>1</v>
      </c>
      <c r="G31" s="37" t="s">
        <v>27</v>
      </c>
      <c r="H31" s="33">
        <f>INDEX($P$11:$P$26,AD2,1)</f>
        <v>1</v>
      </c>
      <c r="I31" s="33">
        <f>INDEX($P$11:$P$26,AE2,1)</f>
        <v>0</v>
      </c>
      <c r="T31" s="37" t="s">
        <v>27</v>
      </c>
      <c r="U31" s="33">
        <f t="shared" si="10"/>
        <v>1</v>
      </c>
      <c r="V31" s="33">
        <f t="shared" si="10"/>
        <v>1</v>
      </c>
      <c r="W31" s="33">
        <f t="shared" si="10"/>
        <v>1</v>
      </c>
      <c r="X31" s="33">
        <f t="shared" si="10"/>
        <v>1</v>
      </c>
      <c r="AA31" s="37" t="s">
        <v>27</v>
      </c>
      <c r="AB31" s="33">
        <f t="shared" si="11"/>
        <v>1</v>
      </c>
      <c r="AC31" s="33">
        <f t="shared" si="11"/>
        <v>0</v>
      </c>
      <c r="AD31" s="33">
        <f t="shared" si="11"/>
        <v>0</v>
      </c>
      <c r="AE31" s="33">
        <f t="shared" si="11"/>
        <v>0</v>
      </c>
    </row>
    <row r="32" spans="2:32">
      <c r="U32" s="38" t="s">
        <v>26</v>
      </c>
      <c r="V32" s="116" t="s">
        <v>26</v>
      </c>
      <c r="W32" s="116"/>
      <c r="X32" s="38" t="s">
        <v>26</v>
      </c>
      <c r="AB32" s="38" t="s">
        <v>26</v>
      </c>
      <c r="AC32" s="116" t="s">
        <v>26</v>
      </c>
      <c r="AD32" s="116"/>
      <c r="AE32" s="38" t="s">
        <v>26</v>
      </c>
    </row>
    <row r="34" spans="20:24">
      <c r="T34" s="32" t="s">
        <v>30</v>
      </c>
      <c r="U34" s="114" t="s">
        <v>28</v>
      </c>
      <c r="V34" s="114"/>
      <c r="W34" s="115" t="s">
        <v>28</v>
      </c>
      <c r="X34" s="115"/>
    </row>
    <row r="35" spans="20:24">
      <c r="T35" s="36" t="s">
        <v>27</v>
      </c>
      <c r="U35" s="33">
        <f t="shared" ref="U35:X36" si="12">INDEX($O$11:$O$26,Y1,1)</f>
        <v>0</v>
      </c>
      <c r="V35" s="33" t="str">
        <f t="shared" si="12"/>
        <v>×</v>
      </c>
      <c r="W35" s="33" t="str">
        <f t="shared" si="12"/>
        <v>×</v>
      </c>
      <c r="X35" s="33">
        <f t="shared" si="12"/>
        <v>0</v>
      </c>
    </row>
    <row r="36" spans="20:24">
      <c r="T36" s="37" t="s">
        <v>27</v>
      </c>
      <c r="U36" s="33">
        <f t="shared" si="12"/>
        <v>0</v>
      </c>
      <c r="V36" s="33">
        <f t="shared" si="12"/>
        <v>0</v>
      </c>
      <c r="W36" s="33">
        <f t="shared" si="12"/>
        <v>1</v>
      </c>
      <c r="X36" s="33">
        <f t="shared" si="12"/>
        <v>1</v>
      </c>
    </row>
    <row r="37" spans="20:24">
      <c r="U37" s="38" t="s">
        <v>26</v>
      </c>
      <c r="V37" s="116" t="s">
        <v>26</v>
      </c>
      <c r="W37" s="116"/>
      <c r="X37" s="38" t="s">
        <v>26</v>
      </c>
    </row>
  </sheetData>
  <mergeCells count="33">
    <mergeCell ref="U12:V12"/>
    <mergeCell ref="W12:X12"/>
    <mergeCell ref="AB12:AC12"/>
    <mergeCell ref="AD12:AE12"/>
    <mergeCell ref="T13:T14"/>
    <mergeCell ref="AA13:AA14"/>
    <mergeCell ref="Y14:Y15"/>
    <mergeCell ref="AF14:AF15"/>
    <mergeCell ref="T15:T16"/>
    <mergeCell ref="AA15:AA16"/>
    <mergeCell ref="V17:W17"/>
    <mergeCell ref="AC17:AD17"/>
    <mergeCell ref="U19:V19"/>
    <mergeCell ref="W19:X19"/>
    <mergeCell ref="AB19:AC19"/>
    <mergeCell ref="AD19:AE19"/>
    <mergeCell ref="AD29:AE29"/>
    <mergeCell ref="V24:W24"/>
    <mergeCell ref="AC24:AD24"/>
    <mergeCell ref="U29:V29"/>
    <mergeCell ref="W29:X29"/>
    <mergeCell ref="AB29:AC29"/>
    <mergeCell ref="T20:T21"/>
    <mergeCell ref="AA20:AA21"/>
    <mergeCell ref="Y21:Y22"/>
    <mergeCell ref="AF21:AF22"/>
    <mergeCell ref="T22:T23"/>
    <mergeCell ref="AA22:AA23"/>
    <mergeCell ref="V32:W32"/>
    <mergeCell ref="AC32:AD32"/>
    <mergeCell ref="U34:V34"/>
    <mergeCell ref="W34:X34"/>
    <mergeCell ref="V37:W37"/>
  </mergeCells>
  <phoneticPr fontId="12"/>
  <conditionalFormatting sqref="C11:F26">
    <cfRule type="cellIs" dxfId="1" priority="1" operator="equal">
      <formula>1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M37"/>
  <sheetViews>
    <sheetView showGridLines="0" topLeftCell="A5" zoomScale="115" zoomScaleNormal="115" workbookViewId="0">
      <selection activeCell="O42" sqref="O42"/>
    </sheetView>
  </sheetViews>
  <sheetFormatPr defaultRowHeight="13.5"/>
  <cols>
    <col min="1" max="1" width="9" customWidth="1"/>
    <col min="2" max="6" width="3.625" customWidth="1"/>
    <col min="8" max="13" width="5.125" customWidth="1"/>
  </cols>
  <sheetData>
    <row r="1" spans="1:13" hidden="1">
      <c r="I1">
        <v>12</v>
      </c>
      <c r="J1">
        <v>14</v>
      </c>
      <c r="K1">
        <v>6</v>
      </c>
      <c r="L1">
        <v>4</v>
      </c>
    </row>
    <row r="2" spans="1:13" hidden="1">
      <c r="I2">
        <v>13</v>
      </c>
      <c r="J2">
        <v>-1</v>
      </c>
      <c r="K2">
        <v>7</v>
      </c>
      <c r="L2">
        <v>5</v>
      </c>
    </row>
    <row r="3" spans="1:13" hidden="1">
      <c r="I3">
        <v>9</v>
      </c>
      <c r="J3">
        <v>11</v>
      </c>
      <c r="K3">
        <v>3</v>
      </c>
      <c r="L3">
        <v>1</v>
      </c>
    </row>
    <row r="4" spans="1:13" hidden="1">
      <c r="I4">
        <v>8</v>
      </c>
      <c r="J4">
        <v>10</v>
      </c>
      <c r="K4">
        <v>2</v>
      </c>
      <c r="L4">
        <v>0</v>
      </c>
    </row>
    <row r="5" spans="1:13">
      <c r="A5" t="s">
        <v>35</v>
      </c>
    </row>
    <row r="6" spans="1:13">
      <c r="A6" t="s">
        <v>36</v>
      </c>
    </row>
    <row r="7" spans="1:13">
      <c r="B7">
        <v>5</v>
      </c>
      <c r="C7" t="s">
        <v>37</v>
      </c>
    </row>
    <row r="8" spans="1:13">
      <c r="A8" t="s">
        <v>38</v>
      </c>
      <c r="D8" s="3"/>
      <c r="E8" s="3"/>
      <c r="F8" s="3"/>
      <c r="H8" s="3"/>
    </row>
    <row r="9" spans="1:13" ht="14.25" thickBot="1">
      <c r="A9" t="s">
        <v>39</v>
      </c>
      <c r="B9" s="58"/>
      <c r="C9" s="59">
        <v>3</v>
      </c>
      <c r="D9" s="60">
        <v>2</v>
      </c>
      <c r="E9" s="60">
        <v>1</v>
      </c>
      <c r="F9" s="61">
        <v>0</v>
      </c>
    </row>
    <row r="10" spans="1:13" ht="14.25" thickTop="1">
      <c r="B10" s="57">
        <v>0</v>
      </c>
      <c r="C10" s="46">
        <f t="shared" ref="C10:C25" si="0">IF(B10&gt;7,1,0)</f>
        <v>0</v>
      </c>
      <c r="D10" s="49">
        <f t="shared" ref="D10:D25" si="1">IF(MOD(B10,8)&gt;3,1,0)</f>
        <v>0</v>
      </c>
      <c r="E10" s="49">
        <f t="shared" ref="E10:E25" si="2">IF(MOD(B10,4)&gt;1,1,0)</f>
        <v>0</v>
      </c>
      <c r="F10" s="51">
        <f t="shared" ref="F10:F25" si="3">MOD(B10,2)</f>
        <v>0</v>
      </c>
      <c r="H10" s="39">
        <v>0</v>
      </c>
      <c r="I10" s="114" t="s">
        <v>40</v>
      </c>
      <c r="J10" s="114"/>
      <c r="K10" s="115" t="s">
        <v>40</v>
      </c>
      <c r="L10" s="115"/>
      <c r="M10" s="39"/>
    </row>
    <row r="11" spans="1:13">
      <c r="B11" s="55">
        <f>IF(B10&lt;$B$7-1,B10+1,0)</f>
        <v>1</v>
      </c>
      <c r="C11" s="48">
        <f>IF(B11&gt;7,1,0)</f>
        <v>0</v>
      </c>
      <c r="D11" s="45">
        <f t="shared" si="1"/>
        <v>0</v>
      </c>
      <c r="E11" s="45">
        <f t="shared" si="2"/>
        <v>0</v>
      </c>
      <c r="F11" s="52">
        <f t="shared" si="3"/>
        <v>1</v>
      </c>
      <c r="H11" s="119" t="s">
        <v>41</v>
      </c>
      <c r="I11" s="33" t="str">
        <f>IF(INDEX($C$10:$F$25,$I$1+2,4-H10)=1,$I$1,IF(OR($I$1&gt;=$B$7,$I$1=-1),"×",""))</f>
        <v>×</v>
      </c>
      <c r="J11" s="33" t="str">
        <f>IF(INDEX($C$10:$F$25,$J$1+2,4-H10)=1,$J$1,IF(OR($J$1&gt;=$B$7,$J$1=-1),"×",""))</f>
        <v>×</v>
      </c>
      <c r="K11" s="33" t="str">
        <f>IF(INDEX($C$10:$F$25,$K$1+2,4-H10)=1,$K$1,IF(OR($K$1&gt;=$B$7,$K$1=-1),"×",""))</f>
        <v>×</v>
      </c>
      <c r="L11" s="33" t="str">
        <f>IF(INDEX($C$10:$F$25,$L$1+2,4-H10)=1,$L$1,IF(OR($L$1&gt;=$B$7,$L$1=-1),"×",""))</f>
        <v/>
      </c>
      <c r="M11" s="41" t="s">
        <v>42</v>
      </c>
    </row>
    <row r="12" spans="1:13">
      <c r="B12" s="55">
        <f t="shared" ref="B12:B25" si="4">IF(AND(B11&lt;$B$7-1,B11&lt;&gt;0),B11+1,0)</f>
        <v>2</v>
      </c>
      <c r="C12" s="48">
        <f t="shared" si="0"/>
        <v>0</v>
      </c>
      <c r="D12" s="45">
        <f t="shared" si="1"/>
        <v>0</v>
      </c>
      <c r="E12" s="45">
        <f t="shared" si="2"/>
        <v>1</v>
      </c>
      <c r="F12" s="52">
        <f t="shared" si="3"/>
        <v>0</v>
      </c>
      <c r="H12" s="119"/>
      <c r="I12" s="33" t="str">
        <f>IF(INDEX($C$10:$F$25,$I$2+2,4-H10)=1,$I$2,IF(OR($I$2&gt;=$B$7,$I$2=-1),"×",""))</f>
        <v>×</v>
      </c>
      <c r="J12" s="33" t="str">
        <f>IF(INDEX($C$10:$F$25,$J$2+2,4-H10)=1,$J$2,IF(OR($J$2&gt;=$B$7,$J$2=-1),"×",""))</f>
        <v>×</v>
      </c>
      <c r="K12" s="33" t="str">
        <f>IF(INDEX($C$10:$F$25,$K$2+2,4-H10)=1,$K$2,IF(OR($K$2&gt;=$B$7,$K$2=-1),"×",""))</f>
        <v>×</v>
      </c>
      <c r="L12" s="33" t="str">
        <f>IF(INDEX($C$10:$F$25,$L$2+2,4-H10)=1,$L$2,IF(OR($L$2&gt;=$B$7,$L$2=-1),"×",""))</f>
        <v>×</v>
      </c>
      <c r="M12" s="117" t="s">
        <v>42</v>
      </c>
    </row>
    <row r="13" spans="1:13">
      <c r="B13" s="54">
        <f t="shared" si="4"/>
        <v>3</v>
      </c>
      <c r="C13" s="48">
        <f t="shared" si="0"/>
        <v>0</v>
      </c>
      <c r="D13" s="45">
        <f t="shared" si="1"/>
        <v>0</v>
      </c>
      <c r="E13" s="45">
        <f t="shared" si="2"/>
        <v>1</v>
      </c>
      <c r="F13" s="52">
        <f t="shared" si="3"/>
        <v>1</v>
      </c>
      <c r="H13" s="118" t="s">
        <v>41</v>
      </c>
      <c r="I13" s="33" t="str">
        <f>IF(INDEX($C$10:$F$25,$I$3+2,4-H10)=1,$I$3,IF(OR($I$3&gt;=$B$7,$I$3=-1),"×",""))</f>
        <v>×</v>
      </c>
      <c r="J13" s="33" t="str">
        <f>IF(INDEX($C$10:$F$25,$J$3+2,4-H10)=1,$J$3,IF(OR($J$3&gt;=$B$7,$J$3=-1),"×",""))</f>
        <v>×</v>
      </c>
      <c r="K13" s="33" t="str">
        <f>IF(INDEX($C$10:$F$25,$K$3+2,4-H10)=1,$K$3,IF(OR($K$3&gt;=$B$7,$K$3=-1),"×",""))</f>
        <v/>
      </c>
      <c r="L13" s="33" t="str">
        <f>IF(INDEX($C$10:$F$25,$L$3+2,4-H10)=1,$L$3,IF(OR($L$3&gt;=$B$7,$L$3=-1),"×",""))</f>
        <v/>
      </c>
      <c r="M13" s="117"/>
    </row>
    <row r="14" spans="1:13">
      <c r="B14" s="55">
        <f t="shared" si="4"/>
        <v>4</v>
      </c>
      <c r="C14" s="48">
        <f t="shared" si="0"/>
        <v>0</v>
      </c>
      <c r="D14" s="45">
        <f t="shared" si="1"/>
        <v>1</v>
      </c>
      <c r="E14" s="45">
        <f t="shared" si="2"/>
        <v>0</v>
      </c>
      <c r="F14" s="52">
        <f t="shared" si="3"/>
        <v>0</v>
      </c>
      <c r="H14" s="118"/>
      <c r="I14" s="33" t="str">
        <f>IF(INDEX($C$10:$F$25,$I$4+2,4-H10)=1,$I$4,IF(OR($I$4&gt;=$B$7,$I$4=-1),"×",""))</f>
        <v>×</v>
      </c>
      <c r="J14" s="33" t="str">
        <f>IF(INDEX($C$10:$F$25,$J$4+2,4-H10)=1,$J$4,IF(OR($J$4&gt;=$B$7,$J$4=-1),"×",""))</f>
        <v>×</v>
      </c>
      <c r="K14" s="33">
        <f>IF(INDEX($C$10:$F$25,$K$4+2,4-H10)=1,$K$4,IF(OR($K$4&gt;=$B$7,$K$4=-1),"×",""))</f>
        <v>2</v>
      </c>
      <c r="L14" s="33">
        <f>IF(INDEX($C$10:$F$25,$L$4+2,4-H10)=1,$L$4,IF(OR($L$4&gt;=$B$7,$L$4=-1),"×",""))</f>
        <v>0</v>
      </c>
      <c r="M14" s="41" t="s">
        <v>42</v>
      </c>
    </row>
    <row r="15" spans="1:13">
      <c r="B15" s="55">
        <f t="shared" si="4"/>
        <v>0</v>
      </c>
      <c r="C15" s="48">
        <f t="shared" si="0"/>
        <v>0</v>
      </c>
      <c r="D15" s="45">
        <f t="shared" si="1"/>
        <v>0</v>
      </c>
      <c r="E15" s="45">
        <f t="shared" si="2"/>
        <v>0</v>
      </c>
      <c r="F15" s="52">
        <f t="shared" si="3"/>
        <v>0</v>
      </c>
      <c r="H15" s="39"/>
      <c r="I15" s="42" t="s">
        <v>43</v>
      </c>
      <c r="J15" s="120" t="s">
        <v>43</v>
      </c>
      <c r="K15" s="120"/>
      <c r="L15" s="42" t="s">
        <v>43</v>
      </c>
      <c r="M15" s="39"/>
    </row>
    <row r="16" spans="1:13">
      <c r="B16" s="55">
        <f t="shared" si="4"/>
        <v>0</v>
      </c>
      <c r="C16" s="48">
        <f t="shared" si="0"/>
        <v>0</v>
      </c>
      <c r="D16" s="45">
        <f t="shared" si="1"/>
        <v>0</v>
      </c>
      <c r="E16" s="45">
        <f t="shared" si="2"/>
        <v>0</v>
      </c>
      <c r="F16" s="52">
        <f t="shared" si="3"/>
        <v>0</v>
      </c>
    </row>
    <row r="17" spans="2:13">
      <c r="B17" s="55">
        <f t="shared" si="4"/>
        <v>0</v>
      </c>
      <c r="C17" s="48">
        <f t="shared" si="0"/>
        <v>0</v>
      </c>
      <c r="D17" s="45">
        <f t="shared" si="1"/>
        <v>0</v>
      </c>
      <c r="E17" s="45">
        <f t="shared" si="2"/>
        <v>0</v>
      </c>
      <c r="F17" s="52">
        <f t="shared" si="3"/>
        <v>0</v>
      </c>
      <c r="H17" s="39">
        <v>1</v>
      </c>
      <c r="I17" s="114" t="s">
        <v>40</v>
      </c>
      <c r="J17" s="114"/>
      <c r="K17" s="121" t="s">
        <v>40</v>
      </c>
      <c r="L17" s="115"/>
      <c r="M17" s="39"/>
    </row>
    <row r="18" spans="2:13">
      <c r="B18" s="55">
        <f t="shared" si="4"/>
        <v>0</v>
      </c>
      <c r="C18" s="48">
        <f t="shared" si="0"/>
        <v>0</v>
      </c>
      <c r="D18" s="45">
        <f t="shared" si="1"/>
        <v>0</v>
      </c>
      <c r="E18" s="45">
        <f t="shared" si="2"/>
        <v>0</v>
      </c>
      <c r="F18" s="52">
        <f t="shared" si="3"/>
        <v>0</v>
      </c>
      <c r="H18" s="119" t="s">
        <v>41</v>
      </c>
      <c r="I18" s="33" t="str">
        <f>IF(INDEX($C$10:$F$25,$I$1+2,4-H17)=1,$I$1,IF(OR($I$1&gt;=$B$7,$I$1=-1),"×",""))</f>
        <v>×</v>
      </c>
      <c r="J18" s="33" t="str">
        <f>IF(INDEX($C$10:$F$25,$J$1+2,4-H17)=1,$J$1,IF(OR($J$1&gt;=$B$7,$J$1=-1),"×",""))</f>
        <v>×</v>
      </c>
      <c r="K18" s="43" t="str">
        <f>IF(INDEX($C$10:$F$25,$K$1+2,4-H17)=1,$K$1,IF(OR($K$1&gt;=$B$7,$K$1=-1),"×",""))</f>
        <v>×</v>
      </c>
      <c r="L18" s="43" t="str">
        <f>IF(INDEX($C$10:$F$25,$L$1+2,4-H17)=1,$L$1,IF(OR($L$1&gt;=$B$7,$L$1=-1),"×",""))</f>
        <v/>
      </c>
      <c r="M18" s="44" t="s">
        <v>42</v>
      </c>
    </row>
    <row r="19" spans="2:13">
      <c r="B19" s="55">
        <f t="shared" si="4"/>
        <v>0</v>
      </c>
      <c r="C19" s="48">
        <f t="shared" si="0"/>
        <v>0</v>
      </c>
      <c r="D19" s="45">
        <f t="shared" si="1"/>
        <v>0</v>
      </c>
      <c r="E19" s="45">
        <f t="shared" si="2"/>
        <v>0</v>
      </c>
      <c r="F19" s="52">
        <f t="shared" si="3"/>
        <v>0</v>
      </c>
      <c r="H19" s="119"/>
      <c r="I19" s="33" t="str">
        <f>IF(INDEX($C$10:$F$25,$I$2+2,4-H17)=1,$I$2,IF(OR($I$2&gt;=$B$7,$I$2=-1),"×",""))</f>
        <v>×</v>
      </c>
      <c r="J19" s="33" t="str">
        <f>IF(INDEX($C$10:$F$25,$J$2+2,4-H17)=1,$J$2,IF(OR($J$2&gt;=$B$7,$J$2=-1),"×",""))</f>
        <v>×</v>
      </c>
      <c r="K19" s="33" t="str">
        <f>IF(INDEX($C$10:$F$25,$K$2+2,4-H17)=1,$K$2,IF(OR($K$2&gt;=$B$7,$K$2=-1),"×",""))</f>
        <v>×</v>
      </c>
      <c r="L19" s="33" t="str">
        <f>IF(INDEX($C$10:$F$25,$L$2+2,4-H17)=1,$L$2,IF(OR($L$2&gt;=$B$7,$L$2=-1),"×",""))</f>
        <v>×</v>
      </c>
      <c r="M19" s="117" t="s">
        <v>42</v>
      </c>
    </row>
    <row r="20" spans="2:13">
      <c r="B20" s="55">
        <f t="shared" si="4"/>
        <v>0</v>
      </c>
      <c r="C20" s="48">
        <f t="shared" si="0"/>
        <v>0</v>
      </c>
      <c r="D20" s="45">
        <f t="shared" si="1"/>
        <v>0</v>
      </c>
      <c r="E20" s="45">
        <f t="shared" si="2"/>
        <v>0</v>
      </c>
      <c r="F20" s="52">
        <f t="shared" si="3"/>
        <v>0</v>
      </c>
      <c r="H20" s="118" t="s">
        <v>41</v>
      </c>
      <c r="I20" s="33" t="str">
        <f>IF(INDEX($C$10:$F$25,$I$3+2,4-H17)=1,$I$3,IF(OR($I$3&gt;=$B$7,$I$3=-1),"×",""))</f>
        <v>×</v>
      </c>
      <c r="J20" s="33" t="str">
        <f>IF(INDEX($C$10:$F$25,$J$3+2,4-H17)=1,$J$3,IF(OR($J$3&gt;=$B$7,$J$3=-1),"×",""))</f>
        <v>×</v>
      </c>
      <c r="K20" s="33" t="str">
        <f>IF(INDEX($C$10:$F$25,$K$3+2,4-H17)=1,$K$3,IF(OR($K$3&gt;=$B$7,$K$3=-1),"×",""))</f>
        <v/>
      </c>
      <c r="L20" s="33">
        <f>IF(INDEX($C$10:$F$25,$L$3+2,4-H17)=1,$L$3,IF(OR($L$3&gt;=$B$7,$L$3=-1),"×",""))</f>
        <v>1</v>
      </c>
      <c r="M20" s="117"/>
    </row>
    <row r="21" spans="2:13">
      <c r="B21" s="55">
        <f t="shared" si="4"/>
        <v>0</v>
      </c>
      <c r="C21" s="48">
        <f t="shared" si="0"/>
        <v>0</v>
      </c>
      <c r="D21" s="45">
        <f t="shared" si="1"/>
        <v>0</v>
      </c>
      <c r="E21" s="45">
        <f t="shared" si="2"/>
        <v>0</v>
      </c>
      <c r="F21" s="52">
        <f t="shared" si="3"/>
        <v>0</v>
      </c>
      <c r="H21" s="118"/>
      <c r="I21" s="33" t="str">
        <f>IF(INDEX($C$10:$F$25,$I$4+2,4-H17)=1,$I$4,IF(OR($I$4&gt;=$B$7,$I$4=-1),"×",""))</f>
        <v>×</v>
      </c>
      <c r="J21" s="33" t="str">
        <f>IF(INDEX($C$10:$F$25,$J$4+2,4-H17)=1,$J$4,IF(OR($J$4&gt;=$B$7,$J$4=-1),"×",""))</f>
        <v>×</v>
      </c>
      <c r="K21" s="33">
        <f>IF(INDEX($C$10:$F$25,$K$4+2,4-H17)=1,$K$4,IF(OR($K$4&gt;=$B$7,$K$4=-1),"×",""))</f>
        <v>2</v>
      </c>
      <c r="L21" s="33" t="str">
        <f>IF(INDEX($C$10:$F$25,$L$4+2,4-H17)=1,$L$4,IF(OR($L$4&gt;=$B$7,$L$4=-1),"×",""))</f>
        <v/>
      </c>
      <c r="M21" s="44" t="s">
        <v>42</v>
      </c>
    </row>
    <row r="22" spans="2:13">
      <c r="B22" s="55">
        <f t="shared" si="4"/>
        <v>0</v>
      </c>
      <c r="C22" s="48">
        <f t="shared" si="0"/>
        <v>0</v>
      </c>
      <c r="D22" s="45">
        <f t="shared" si="1"/>
        <v>0</v>
      </c>
      <c r="E22" s="45">
        <f t="shared" si="2"/>
        <v>0</v>
      </c>
      <c r="F22" s="52">
        <f t="shared" si="3"/>
        <v>0</v>
      </c>
      <c r="H22" s="39"/>
      <c r="I22" s="40" t="s">
        <v>43</v>
      </c>
      <c r="J22" s="116" t="s">
        <v>43</v>
      </c>
      <c r="K22" s="116"/>
      <c r="L22" s="40" t="s">
        <v>43</v>
      </c>
      <c r="M22" s="29"/>
    </row>
    <row r="23" spans="2:13">
      <c r="B23" s="55">
        <f t="shared" si="4"/>
        <v>0</v>
      </c>
      <c r="C23" s="48">
        <f t="shared" si="0"/>
        <v>0</v>
      </c>
      <c r="D23" s="45">
        <f t="shared" si="1"/>
        <v>0</v>
      </c>
      <c r="E23" s="45">
        <f t="shared" si="2"/>
        <v>0</v>
      </c>
      <c r="F23" s="52">
        <f t="shared" si="3"/>
        <v>0</v>
      </c>
    </row>
    <row r="24" spans="2:13">
      <c r="B24" s="55">
        <f t="shared" si="4"/>
        <v>0</v>
      </c>
      <c r="C24" s="48">
        <f t="shared" si="0"/>
        <v>0</v>
      </c>
      <c r="D24" s="45">
        <f t="shared" si="1"/>
        <v>0</v>
      </c>
      <c r="E24" s="45">
        <f t="shared" si="2"/>
        <v>0</v>
      </c>
      <c r="F24" s="52">
        <f t="shared" si="3"/>
        <v>0</v>
      </c>
      <c r="H24" s="39">
        <v>2</v>
      </c>
      <c r="I24" s="114" t="s">
        <v>40</v>
      </c>
      <c r="J24" s="114"/>
      <c r="K24" s="115" t="s">
        <v>40</v>
      </c>
      <c r="L24" s="115"/>
      <c r="M24" s="39"/>
    </row>
    <row r="25" spans="2:13">
      <c r="B25" s="56">
        <f t="shared" si="4"/>
        <v>0</v>
      </c>
      <c r="C25" s="47">
        <f t="shared" si="0"/>
        <v>0</v>
      </c>
      <c r="D25" s="50">
        <f t="shared" si="1"/>
        <v>0</v>
      </c>
      <c r="E25" s="50">
        <f t="shared" si="2"/>
        <v>0</v>
      </c>
      <c r="F25" s="53">
        <f t="shared" si="3"/>
        <v>0</v>
      </c>
      <c r="H25" s="119" t="s">
        <v>41</v>
      </c>
      <c r="I25" s="33" t="str">
        <f>IF(INDEX($C$10:$F$25,$I$1+2,4-H24)=1,$I$1,IF(OR($I$1&gt;=$B$7,$I$1=-1),"×",""))</f>
        <v>×</v>
      </c>
      <c r="J25" s="33" t="str">
        <f>IF(INDEX($C$10:$F$25,$J$1+2,4-H24)=1,$J$1,IF(OR($J$1&gt;=$B$7,$J$1=-1),"×",""))</f>
        <v>×</v>
      </c>
      <c r="K25" s="43" t="str">
        <f>IF(INDEX($C$10:$F$25,$K$1+2,4-H24)=1,$K$1,IF(OR($K$1&gt;=$B$7,$K$1=-1),"×",""))</f>
        <v>×</v>
      </c>
      <c r="L25" s="43" t="str">
        <f>IF(INDEX($C$10:$F$25,$L$1+2,4-H24)=1,$L$1,IF(OR($L$1&gt;=$B$7,$L$1=-1),"×",""))</f>
        <v/>
      </c>
      <c r="M25" s="41" t="s">
        <v>42</v>
      </c>
    </row>
    <row r="26" spans="2:13">
      <c r="F26" s="3"/>
      <c r="H26" s="119"/>
      <c r="I26" s="33" t="str">
        <f>IF(INDEX($C$10:$F$25,$I$2+2,4-H24)=1,$I$2,IF(OR($I$2&gt;=$B$7,$I$2=-1),"×",""))</f>
        <v>×</v>
      </c>
      <c r="J26" s="33" t="str">
        <f>IF(INDEX($C$10:$F$25,$J$2+2,4-H24)=1,$J$2,IF(OR($J$2&gt;=$B$7,$J$2=-1),"×",""))</f>
        <v>×</v>
      </c>
      <c r="K26" s="33" t="str">
        <f>IF(INDEX($C$10:$F$25,$K$2+2,4-H24)=1,$K$2,IF(OR($K$2&gt;=$B$7,$K$2=-1),"×",""))</f>
        <v>×</v>
      </c>
      <c r="L26" s="33" t="str">
        <f>IF(INDEX($C$10:$F$25,$L$2+2,4-H24)=1,$L$2,IF(OR($L$2&gt;=$B$7,$L$2=-1),"×",""))</f>
        <v>×</v>
      </c>
      <c r="M26" s="117" t="s">
        <v>42</v>
      </c>
    </row>
    <row r="27" spans="2:13">
      <c r="H27" s="118" t="s">
        <v>41</v>
      </c>
      <c r="I27" s="33" t="str">
        <f>IF(INDEX($C$10:$F$25,$I$3+2,4-H24)=1,$I$3,IF(OR($I$3&gt;=$B$7,$I$3=-1),"×",""))</f>
        <v>×</v>
      </c>
      <c r="J27" s="33" t="str">
        <f>IF(INDEX($C$10:$F$25,$J$3+2,4-H24)=1,$J$3,IF(OR($J$3&gt;=$B$7,$J$3=-1),"×",""))</f>
        <v>×</v>
      </c>
      <c r="K27" s="33">
        <f>IF(INDEX($C$10:$F$25,$K$3+2,4-H24)=1,$K$3,IF(OR($K$3&gt;=$B$7,$K$3=-1),"×",""))</f>
        <v>3</v>
      </c>
      <c r="L27" s="33" t="str">
        <f>IF(INDEX($C$10:$F$25,$L$3+2,4-H24)=1,$L$3,IF(OR($L$3&gt;=$B$7,$L$3=-1),"×",""))</f>
        <v/>
      </c>
      <c r="M27" s="117"/>
    </row>
    <row r="28" spans="2:13">
      <c r="H28" s="118"/>
      <c r="I28" s="33" t="str">
        <f>IF(INDEX($C$10:$F$25,$I$4+2,4-H24)=1,$I$4,IF(OR($I$4&gt;=$B$7,$I$4=-1),"×",""))</f>
        <v>×</v>
      </c>
      <c r="J28" s="33" t="str">
        <f>IF(INDEX($C$10:$F$25,$J$4+2,4-H24)=1,$J$4,IF(OR($J$4&gt;=$B$7,$J$4=-1),"×",""))</f>
        <v>×</v>
      </c>
      <c r="K28" s="33" t="str">
        <f>IF(INDEX($C$10:$F$25,$K$4+2,4-H24)=1,$K$4,IF(OR($K$4&gt;=$B$7,$K$4=-1),"×",""))</f>
        <v/>
      </c>
      <c r="L28" s="33" t="str">
        <f>IF(INDEX($C$10:$F$25,$L$4+2,4-H24)=1,$L$4,IF(OR($L$4&gt;=$B$7,$L$4=-1),"×",""))</f>
        <v/>
      </c>
      <c r="M28" s="41" t="s">
        <v>42</v>
      </c>
    </row>
    <row r="29" spans="2:13">
      <c r="H29" s="39"/>
      <c r="I29" s="44" t="s">
        <v>43</v>
      </c>
      <c r="J29" s="116" t="s">
        <v>43</v>
      </c>
      <c r="K29" s="116"/>
      <c r="L29" s="44" t="s">
        <v>43</v>
      </c>
      <c r="M29" s="39"/>
    </row>
    <row r="30" spans="2:13">
      <c r="I30" s="3"/>
      <c r="L30" s="3"/>
    </row>
    <row r="31" spans="2:13">
      <c r="H31" s="39">
        <v>3</v>
      </c>
      <c r="I31" s="114" t="s">
        <v>40</v>
      </c>
      <c r="J31" s="114"/>
      <c r="K31" s="115" t="s">
        <v>40</v>
      </c>
      <c r="L31" s="115"/>
      <c r="M31" s="39"/>
    </row>
    <row r="32" spans="2:13">
      <c r="H32" s="119" t="s">
        <v>41</v>
      </c>
      <c r="I32" s="33" t="str">
        <f>IF(INDEX($C$10:$F$25,$I$1+2,4-H31)=1,$I$1,IF(OR($I$1&gt;=$B$7,$I$1=-1),"×",""))</f>
        <v>×</v>
      </c>
      <c r="J32" s="33" t="str">
        <f>IF(INDEX($C$10:$F$25,$J$1+2,4-H31)=1,$J$1,IF(OR($J$1&gt;=$B$7,$J$1=-1),"×",""))</f>
        <v>×</v>
      </c>
      <c r="K32" s="43" t="str">
        <f>IF(INDEX($C$10:$F$25,$K$1+2,4-H31)=1,$K$1,IF(OR($K$1&gt;=$B$7,$K$1=-1),"×",""))</f>
        <v>×</v>
      </c>
      <c r="L32" s="43" t="str">
        <f>IF(INDEX($C$10:$F$25,$L$1+2,4-H31)=1,$L$1,IF(OR($L$1&gt;=$B$7,$L$1=-1),"×",""))</f>
        <v/>
      </c>
      <c r="M32" s="41" t="s">
        <v>42</v>
      </c>
    </row>
    <row r="33" spans="8:13">
      <c r="H33" s="119"/>
      <c r="I33" s="33" t="str">
        <f>IF(INDEX($C$10:$F$25,$I$2+2,4-H31)=1,$I$2,IF(OR($I$2&gt;=$B$7,$I$2=-1),"×",""))</f>
        <v>×</v>
      </c>
      <c r="J33" s="33" t="str">
        <f>IF(INDEX($C$10:$F$25,$J$2+2,4-H31)=1,$J$2,IF(OR($J$2&gt;=$B$7,$J$2=-1),"×",""))</f>
        <v>×</v>
      </c>
      <c r="K33" s="33" t="str">
        <f>IF(INDEX($C$10:$F$25,$K$2+2,4-H31)=1,$K$2,IF(OR($K$2&gt;=$B$7,$K$2=-1),"×",""))</f>
        <v>×</v>
      </c>
      <c r="L33" s="33" t="str">
        <f>IF(INDEX($C$10:$F$25,$L$2+2,4-H31)=1,$L$2,IF(OR($L$2&gt;=$B$7,$L$2=-1),"×",""))</f>
        <v>×</v>
      </c>
      <c r="M33" s="117" t="s">
        <v>42</v>
      </c>
    </row>
    <row r="34" spans="8:13">
      <c r="H34" s="118" t="s">
        <v>41</v>
      </c>
      <c r="I34" s="33" t="str">
        <f>IF(INDEX($C$10:$F$25,$I$3+2,4-H31)=1,$I$3,IF(OR($I$3&gt;=$B$7,$I$3=-1),"×",""))</f>
        <v>×</v>
      </c>
      <c r="J34" s="33" t="str">
        <f>IF(INDEX($C$10:$F$25,$J$3+2,4-H31)=1,$J$3,IF(OR($J$3&gt;=$B$7,$J$3=-1),"×",""))</f>
        <v>×</v>
      </c>
      <c r="K34" s="33" t="str">
        <f>IF(INDEX($C$10:$F$25,$K$3+2,4-H31)=1,$K$3,IF(OR($K$3&gt;=$B$7,$K$3=-1),"×",""))</f>
        <v/>
      </c>
      <c r="L34" s="33" t="str">
        <f>IF(INDEX($C$10:$F$25,$L$3+2,4-H31)=1,$L$3,IF(OR($L$3&gt;=$B$7,$L$3=-1),"×",""))</f>
        <v/>
      </c>
      <c r="M34" s="117"/>
    </row>
    <row r="35" spans="8:13">
      <c r="H35" s="118"/>
      <c r="I35" s="33" t="str">
        <f>IF(INDEX($C$10:$F$25,$I$4+2,4-H31)=1,$I$4,IF(OR($I$4&gt;=$B$7,$I$4=-1),"×",""))</f>
        <v>×</v>
      </c>
      <c r="J35" s="33" t="str">
        <f>IF(INDEX($C$10:$F$25,$J$4+2,4-H31)=1,$J$4,IF(OR($J$4&gt;=$B$7,$J$4=-1),"×",""))</f>
        <v>×</v>
      </c>
      <c r="K35" s="33" t="str">
        <f>IF(INDEX($C$10:$F$25,$K$4+2,4-H31)=1,$K$4,IF(OR($K$4&gt;=$B$7,$K$4=-1),"×",""))</f>
        <v/>
      </c>
      <c r="L35" s="33" t="str">
        <f>IF(INDEX($C$10:$F$25,$L$4+2,4-H31)=1,$L$4,IF(OR($L$4&gt;=$B$7,$L$4=-1),"×",""))</f>
        <v/>
      </c>
      <c r="M35" s="41" t="s">
        <v>42</v>
      </c>
    </row>
    <row r="36" spans="8:13">
      <c r="H36" s="39"/>
      <c r="I36" s="44" t="s">
        <v>43</v>
      </c>
      <c r="J36" s="116" t="s">
        <v>43</v>
      </c>
      <c r="K36" s="116"/>
      <c r="L36" s="44" t="s">
        <v>43</v>
      </c>
      <c r="M36" s="39"/>
    </row>
    <row r="37" spans="8:13">
      <c r="I37" s="3"/>
      <c r="L37" s="3"/>
    </row>
  </sheetData>
  <mergeCells count="24">
    <mergeCell ref="J22:K22"/>
    <mergeCell ref="I10:J10"/>
    <mergeCell ref="K10:L10"/>
    <mergeCell ref="H11:H12"/>
    <mergeCell ref="M12:M13"/>
    <mergeCell ref="H13:H14"/>
    <mergeCell ref="J15:K15"/>
    <mergeCell ref="I17:J17"/>
    <mergeCell ref="K17:L17"/>
    <mergeCell ref="H18:H19"/>
    <mergeCell ref="M19:M20"/>
    <mergeCell ref="H20:H21"/>
    <mergeCell ref="J36:K36"/>
    <mergeCell ref="I24:J24"/>
    <mergeCell ref="K24:L24"/>
    <mergeCell ref="H25:H26"/>
    <mergeCell ref="M26:M27"/>
    <mergeCell ref="H27:H28"/>
    <mergeCell ref="J29:K29"/>
    <mergeCell ref="I31:J31"/>
    <mergeCell ref="K31:L31"/>
    <mergeCell ref="H32:H33"/>
    <mergeCell ref="M33:M34"/>
    <mergeCell ref="H34:H35"/>
  </mergeCells>
  <phoneticPr fontId="20"/>
  <conditionalFormatting sqref="C10:F25">
    <cfRule type="cellIs" dxfId="0" priority="1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R調整</vt:lpstr>
      <vt:lpstr>VR基準電圧調整</vt:lpstr>
      <vt:lpstr>E24系列</vt:lpstr>
      <vt:lpstr>JK-FF同期カウンタ</vt:lpstr>
      <vt:lpstr>D-FF同期カウンタ</vt:lpstr>
      <vt:lpstr>E系列部品選定</vt:lpstr>
      <vt:lpstr>要チェック回路</vt:lpstr>
      <vt:lpstr>JK-FF同期N進カウンタ_old</vt:lpstr>
      <vt:lpstr>D-FF同期N進カウンタ_old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Shuto</dc:creator>
  <cp:lastModifiedBy>nissan</cp:lastModifiedBy>
  <cp:lastPrinted>2010-09-20T07:52:29Z</cp:lastPrinted>
  <dcterms:created xsi:type="dcterms:W3CDTF">2010-06-26T16:42:02Z</dcterms:created>
  <dcterms:modified xsi:type="dcterms:W3CDTF">2010-10-23T02:24:49Z</dcterms:modified>
</cp:coreProperties>
</file>