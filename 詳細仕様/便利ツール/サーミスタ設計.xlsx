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830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kiraShimizu\Desktop\"/>
    </mc:Choice>
  </mc:AlternateContent>
  <xr:revisionPtr revIDLastSave="0" documentId="13_ncr:1_{D0970E08-4F9B-4461-BE1E-1DE58B5D682E}" xr6:coauthVersionLast="47" xr6:coauthVersionMax="47" xr10:uidLastSave="{00000000-0000-0000-0000-000000000000}"/>
  <bookViews>
    <workbookView xWindow="28680" yWindow="-120" windowWidth="29040" windowHeight="15720" xr2:uid="{5F81AB68-A306-47ED-83B7-7521904A86AA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O6" i="1" l="1"/>
  <c r="O7" i="1"/>
  <c r="O8" i="1"/>
  <c r="O9" i="1"/>
  <c r="O10" i="1"/>
  <c r="O11" i="1"/>
  <c r="O12" i="1"/>
  <c r="O13" i="1"/>
  <c r="O14" i="1"/>
  <c r="O15" i="1"/>
  <c r="O16" i="1"/>
  <c r="O17" i="1"/>
  <c r="O18" i="1"/>
  <c r="O19" i="1"/>
  <c r="O5" i="1"/>
  <c r="P6" i="1"/>
  <c r="P7" i="1"/>
  <c r="P8" i="1"/>
  <c r="P9" i="1"/>
  <c r="P10" i="1"/>
  <c r="P11" i="1"/>
  <c r="P12" i="1"/>
  <c r="P13" i="1"/>
  <c r="P14" i="1"/>
  <c r="P15" i="1"/>
  <c r="P16" i="1"/>
  <c r="P17" i="1"/>
  <c r="P18" i="1"/>
  <c r="P19" i="1"/>
  <c r="P5" i="1"/>
  <c r="I6" i="1"/>
  <c r="I7" i="1"/>
  <c r="I8" i="1"/>
  <c r="I9" i="1"/>
  <c r="I10" i="1"/>
  <c r="I11" i="1"/>
  <c r="I12" i="1"/>
  <c r="I13" i="1"/>
  <c r="I14" i="1"/>
  <c r="I15" i="1"/>
  <c r="I16" i="1"/>
  <c r="I17" i="1"/>
  <c r="I18" i="1"/>
  <c r="I19" i="1"/>
  <c r="I5" i="1"/>
  <c r="M6" i="1"/>
  <c r="L6" i="1" s="1"/>
  <c r="M7" i="1"/>
  <c r="L7" i="1" s="1"/>
  <c r="M8" i="1"/>
  <c r="L8" i="1" s="1"/>
  <c r="M9" i="1"/>
  <c r="L9" i="1" s="1"/>
  <c r="M10" i="1"/>
  <c r="L10" i="1" s="1"/>
  <c r="M11" i="1"/>
  <c r="L11" i="1" s="1"/>
  <c r="M12" i="1"/>
  <c r="L12" i="1" s="1"/>
  <c r="M13" i="1"/>
  <c r="L13" i="1" s="1"/>
  <c r="M14" i="1"/>
  <c r="L14" i="1" s="1"/>
  <c r="M15" i="1"/>
  <c r="L15" i="1" s="1"/>
  <c r="M16" i="1"/>
  <c r="L16" i="1" s="1"/>
  <c r="M17" i="1"/>
  <c r="L17" i="1" s="1"/>
  <c r="M18" i="1"/>
  <c r="L18" i="1" s="1"/>
  <c r="M19" i="1"/>
  <c r="L19" i="1" s="1"/>
  <c r="M5" i="1"/>
  <c r="L5" i="1" s="1"/>
  <c r="K6" i="1"/>
  <c r="K7" i="1"/>
  <c r="K8" i="1"/>
  <c r="K9" i="1"/>
  <c r="K10" i="1"/>
  <c r="K11" i="1"/>
  <c r="K12" i="1"/>
  <c r="K13" i="1"/>
  <c r="K14" i="1"/>
  <c r="K15" i="1"/>
  <c r="K16" i="1"/>
  <c r="K17" i="1"/>
  <c r="K18" i="1"/>
  <c r="K19" i="1"/>
  <c r="K5" i="1"/>
  <c r="H6" i="1"/>
  <c r="H7" i="1"/>
  <c r="H8" i="1"/>
  <c r="H9" i="1"/>
  <c r="H10" i="1"/>
  <c r="H11" i="1"/>
  <c r="H12" i="1"/>
  <c r="H13" i="1"/>
  <c r="H14" i="1"/>
  <c r="H15" i="1"/>
  <c r="H16" i="1"/>
  <c r="H17" i="1"/>
  <c r="H18" i="1"/>
  <c r="H19" i="1"/>
  <c r="H5" i="1"/>
  <c r="F6" i="1"/>
  <c r="F7" i="1"/>
  <c r="F8" i="1"/>
  <c r="F9" i="1"/>
  <c r="F10" i="1"/>
  <c r="F11" i="1"/>
  <c r="F12" i="1"/>
  <c r="F13" i="1"/>
  <c r="F14" i="1"/>
  <c r="F15" i="1"/>
  <c r="F16" i="1"/>
  <c r="F17" i="1"/>
  <c r="F18" i="1"/>
  <c r="F19" i="1"/>
  <c r="F5" i="1"/>
  <c r="C9" i="1"/>
  <c r="Q19" i="1" l="1"/>
  <c r="Q8" i="1"/>
  <c r="Q6" i="1"/>
  <c r="Q7" i="1"/>
  <c r="Q18" i="1"/>
  <c r="Q15" i="1"/>
  <c r="Q13" i="1"/>
  <c r="Q12" i="1"/>
  <c r="Q11" i="1"/>
  <c r="Q16" i="1"/>
  <c r="Q14" i="1"/>
  <c r="Q10" i="1"/>
  <c r="Q17" i="1"/>
  <c r="Q9" i="1"/>
  <c r="Q5" i="1"/>
</calcChain>
</file>

<file path=xl/sharedStrings.xml><?xml version="1.0" encoding="utf-8"?>
<sst xmlns="http://schemas.openxmlformats.org/spreadsheetml/2006/main" count="21" uniqueCount="15">
  <si>
    <t>計算温度</t>
    <rPh sb="0" eb="2">
      <t>ケイサン</t>
    </rPh>
    <rPh sb="2" eb="4">
      <t>オンド</t>
    </rPh>
    <phoneticPr fontId="1"/>
  </si>
  <si>
    <t>基準温度</t>
    <rPh sb="0" eb="2">
      <t>キジュン</t>
    </rPh>
    <rPh sb="2" eb="4">
      <t>オンド</t>
    </rPh>
    <phoneticPr fontId="1"/>
  </si>
  <si>
    <t xml:space="preserve">B定数 </t>
    <rPh sb="1" eb="3">
      <t>ジョウスウ</t>
    </rPh>
    <phoneticPr fontId="1"/>
  </si>
  <si>
    <t>抵抗値</t>
    <rPh sb="0" eb="3">
      <t>テイコウチ</t>
    </rPh>
    <phoneticPr fontId="1"/>
  </si>
  <si>
    <t>基準抵抗</t>
    <rPh sb="0" eb="2">
      <t>キジュン</t>
    </rPh>
    <rPh sb="2" eb="4">
      <t>テイコウ</t>
    </rPh>
    <phoneticPr fontId="1"/>
  </si>
  <si>
    <t>絶対温度</t>
    <rPh sb="0" eb="2">
      <t>ゼッタイ</t>
    </rPh>
    <rPh sb="2" eb="4">
      <t>オンド</t>
    </rPh>
    <phoneticPr fontId="1"/>
  </si>
  <si>
    <t>温度</t>
    <rPh sb="0" eb="2">
      <t>オンド</t>
    </rPh>
    <phoneticPr fontId="1"/>
  </si>
  <si>
    <t>プルアップ抵抗</t>
    <rPh sb="5" eb="7">
      <t>テイコウ</t>
    </rPh>
    <phoneticPr fontId="1"/>
  </si>
  <si>
    <t>電源電圧</t>
    <rPh sb="0" eb="2">
      <t>デンゲン</t>
    </rPh>
    <rPh sb="2" eb="4">
      <t>デンアツ</t>
    </rPh>
    <phoneticPr fontId="1"/>
  </si>
  <si>
    <t>プルダウン抵抗</t>
    <rPh sb="5" eb="7">
      <t>テイコウ</t>
    </rPh>
    <phoneticPr fontId="1"/>
  </si>
  <si>
    <t>下側並列合成</t>
    <rPh sb="0" eb="2">
      <t>シタガワ</t>
    </rPh>
    <rPh sb="2" eb="4">
      <t>ヘイレツ</t>
    </rPh>
    <rPh sb="4" eb="6">
      <t>ゴウセイ</t>
    </rPh>
    <phoneticPr fontId="1"/>
  </si>
  <si>
    <t>PU分圧電圧</t>
    <rPh sb="2" eb="4">
      <t>ブンアツ</t>
    </rPh>
    <rPh sb="4" eb="6">
      <t>デンアツ</t>
    </rPh>
    <phoneticPr fontId="1"/>
  </si>
  <si>
    <t>PUPD分圧電圧</t>
    <rPh sb="4" eb="6">
      <t>ブンアツ</t>
    </rPh>
    <rPh sb="6" eb="8">
      <t>デンアツ</t>
    </rPh>
    <phoneticPr fontId="1"/>
  </si>
  <si>
    <t>電圧多項式</t>
    <rPh sb="0" eb="2">
      <t>デンアツ</t>
    </rPh>
    <rPh sb="2" eb="5">
      <t>タコウシキ</t>
    </rPh>
    <phoneticPr fontId="1"/>
  </si>
  <si>
    <t xml:space="preserve">Δ </t>
    <phoneticPr fontId="1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</si>
</sst>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80" formatCode="0.0000"/>
    <numFmt numFmtId="181" formatCode="0.000"/>
    <numFmt numFmtId="187" formatCode="0.0"/>
  </numFmts>
  <fonts count="2" x14ac:knownFonts="1">
    <font>
      <sz val="11"/>
      <color theme="1"/>
      <name val="游ゴシック"/>
      <family val="2"/>
      <charset val="128"/>
      <scheme val="minor"/>
    </font>
    <font>
      <sz val="6"/>
      <name val="游ゴシック"/>
      <family val="2"/>
      <charset val="128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6">
    <xf numFmtId="0" fontId="0" fillId="0" borderId="0" xfId="0">
      <alignment vertical="center"/>
    </xf>
    <xf numFmtId="0" fontId="0" fillId="0" borderId="0" xfId="0" applyAlignment="1">
      <alignment vertical="center" wrapText="1"/>
    </xf>
    <xf numFmtId="180" fontId="0" fillId="0" borderId="0" xfId="0" applyNumberFormat="1">
      <alignment vertical="center"/>
    </xf>
    <xf numFmtId="181" fontId="0" fillId="0" borderId="0" xfId="0" applyNumberFormat="1">
      <alignment vertical="center"/>
    </xf>
    <xf numFmtId="2" fontId="0" fillId="0" borderId="0" xfId="0" applyNumberFormat="1">
      <alignment vertical="center"/>
    </xf>
    <xf numFmtId="187" fontId="0" fillId="0" borderId="0" xfId="0" applyNumberFormat="1">
      <alignment vertical="center"/>
    </xf>
  </cellXfs>
  <cellStyles count="1">
    <cellStyle name="標準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ja-JP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/>
      <c:scatterChart>
        <c:scatterStyle val="lineMarker"/>
        <c:varyColors val="0"/>
        <c:ser>
          <c:idx val="1"/>
          <c:order val="0"/>
          <c:tx>
            <c:strRef>
              <c:f>Sheet1!$I$4</c:f>
              <c:strCache>
                <c:ptCount val="1"/>
                <c:pt idx="0">
                  <c:v>PU分圧電圧</c:v>
                </c:pt>
              </c:strCache>
            </c:strRef>
          </c:tx>
          <c:marker>
            <c:symbol val="none"/>
          </c:marker>
          <c:trendline>
            <c:spPr>
              <a:ln w="19050">
                <a:solidFill>
                  <a:schemeClr val="accent2"/>
                </a:solidFill>
                <a:prstDash val="sysDash"/>
              </a:ln>
            </c:spPr>
            <c:trendlineType val="linear"/>
            <c:dispRSqr val="1"/>
            <c:dispEq val="1"/>
            <c:trendlineLbl>
              <c:layout>
                <c:manualLayout>
                  <c:x val="1.6602143482064742E-2"/>
                  <c:y val="-0.36056357538641004"/>
                </c:manualLayout>
              </c:layout>
              <c:numFmt formatCode="General" sourceLinked="0"/>
              <c:spPr>
                <a:noFill/>
              </c:spPr>
            </c:trendlineLbl>
          </c:trendline>
          <c:xVal>
            <c:numRef>
              <c:f>Sheet1!$I$5:$I$19</c:f>
              <c:numCache>
                <c:formatCode>0.0000</c:formatCode>
                <c:ptCount val="15"/>
                <c:pt idx="0">
                  <c:v>3.2617973769385347</c:v>
                </c:pt>
                <c:pt idx="1">
                  <c:v>3.2242232160980051</c:v>
                </c:pt>
                <c:pt idx="2">
                  <c:v>3.1589924549203876</c:v>
                </c:pt>
                <c:pt idx="3">
                  <c:v>3.0534534847574726</c:v>
                </c:pt>
                <c:pt idx="4">
                  <c:v>2.8951058879912654</c:v>
                </c:pt>
                <c:pt idx="5">
                  <c:v>2.676349634864168</c:v>
                </c:pt>
                <c:pt idx="6">
                  <c:v>2.4000540288258936</c:v>
                </c:pt>
                <c:pt idx="7">
                  <c:v>2.0823571072426312</c:v>
                </c:pt>
                <c:pt idx="8">
                  <c:v>1.7493982063489193</c:v>
                </c:pt>
                <c:pt idx="9">
                  <c:v>1.4289285880056248</c:v>
                </c:pt>
                <c:pt idx="10">
                  <c:v>1.1420162121635813</c:v>
                </c:pt>
                <c:pt idx="11">
                  <c:v>0.89936674797504679</c:v>
                </c:pt>
                <c:pt idx="12">
                  <c:v>0.70250212161170866</c:v>
                </c:pt>
                <c:pt idx="13">
                  <c:v>0.54719507267392964</c:v>
                </c:pt>
                <c:pt idx="14">
                  <c:v>0.42675630133721054</c:v>
                </c:pt>
              </c:numCache>
            </c:numRef>
          </c:xVal>
          <c:yVal>
            <c:numRef>
              <c:f>Sheet1!$H$5:$H$19</c:f>
              <c:numCache>
                <c:formatCode>General</c:formatCode>
                <c:ptCount val="15"/>
                <c:pt idx="0">
                  <c:v>-40</c:v>
                </c:pt>
                <c:pt idx="1">
                  <c:v>-30</c:v>
                </c:pt>
                <c:pt idx="2">
                  <c:v>-20</c:v>
                </c:pt>
                <c:pt idx="3">
                  <c:v>-10</c:v>
                </c:pt>
                <c:pt idx="4">
                  <c:v>0</c:v>
                </c:pt>
                <c:pt idx="5">
                  <c:v>10</c:v>
                </c:pt>
                <c:pt idx="6">
                  <c:v>20</c:v>
                </c:pt>
                <c:pt idx="7">
                  <c:v>30</c:v>
                </c:pt>
                <c:pt idx="8">
                  <c:v>40</c:v>
                </c:pt>
                <c:pt idx="9">
                  <c:v>50</c:v>
                </c:pt>
                <c:pt idx="10">
                  <c:v>60</c:v>
                </c:pt>
                <c:pt idx="11">
                  <c:v>70</c:v>
                </c:pt>
                <c:pt idx="12">
                  <c:v>80</c:v>
                </c:pt>
                <c:pt idx="13">
                  <c:v>90</c:v>
                </c:pt>
                <c:pt idx="14">
                  <c:v>100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11-FC2B-435E-A9C7-50BF380CCB17}"/>
            </c:ext>
          </c:extLst>
        </c:ser>
        <c:ser>
          <c:idx val="0"/>
          <c:order val="1"/>
          <c:tx>
            <c:strRef>
              <c:f>Sheet1!$L$4</c:f>
              <c:strCache>
                <c:ptCount val="1"/>
                <c:pt idx="0">
                  <c:v>PUPD分圧電圧</c:v>
                </c:pt>
              </c:strCache>
            </c:strRef>
          </c:tx>
          <c:marker>
            <c:symbol val="none"/>
          </c:marker>
          <c:trendline>
            <c:spPr>
              <a:ln w="19050">
                <a:solidFill>
                  <a:schemeClr val="accent1"/>
                </a:solidFill>
                <a:prstDash val="sysDash"/>
              </a:ln>
            </c:spPr>
            <c:trendlineType val="linear"/>
            <c:dispRSqr val="1"/>
            <c:dispEq val="1"/>
            <c:trendlineLbl>
              <c:layout>
                <c:manualLayout>
                  <c:x val="-0.20926618547681539"/>
                  <c:y val="-3.4220982793817356E-2"/>
                </c:manualLayout>
              </c:layout>
              <c:numFmt formatCode="General" sourceLinked="0"/>
            </c:trendlineLbl>
          </c:trendline>
          <c:xVal>
            <c:numRef>
              <c:f>Sheet1!$L$5:$L$19</c:f>
              <c:numCache>
                <c:formatCode>0.0000</c:formatCode>
                <c:ptCount val="15"/>
                <c:pt idx="0">
                  <c:v>2.1640487392398366</c:v>
                </c:pt>
                <c:pt idx="1">
                  <c:v>2.129025425228896</c:v>
                </c:pt>
                <c:pt idx="2">
                  <c:v>2.0690017471429845</c:v>
                </c:pt>
                <c:pt idx="3">
                  <c:v>1.9739266109240634</c:v>
                </c:pt>
                <c:pt idx="4">
                  <c:v>1.8358186725801224</c:v>
                </c:pt>
                <c:pt idx="5">
                  <c:v>1.6534780119233623</c:v>
                </c:pt>
                <c:pt idx="6">
                  <c:v>1.4361522719240636</c:v>
                </c:pt>
                <c:pt idx="7">
                  <c:v>1.2025655424503152</c:v>
                </c:pt>
                <c:pt idx="8">
                  <c:v>0.97463622513836201</c:v>
                </c:pt>
                <c:pt idx="9">
                  <c:v>0.76994766961488637</c:v>
                </c:pt>
                <c:pt idx="10">
                  <c:v>0.59777396180784526</c:v>
                </c:pt>
                <c:pt idx="11">
                  <c:v>0.45965791982642462</c:v>
                </c:pt>
                <c:pt idx="12">
                  <c:v>0.35230025296667333</c:v>
                </c:pt>
                <c:pt idx="13">
                  <c:v>0.2704089895102913</c:v>
                </c:pt>
                <c:pt idx="14">
                  <c:v>0.20853079183589743</c:v>
                </c:pt>
              </c:numCache>
            </c:numRef>
          </c:xVal>
          <c:yVal>
            <c:numRef>
              <c:f>Sheet1!$K$5:$K$19</c:f>
              <c:numCache>
                <c:formatCode>General</c:formatCode>
                <c:ptCount val="15"/>
                <c:pt idx="0">
                  <c:v>-40</c:v>
                </c:pt>
                <c:pt idx="1">
                  <c:v>-30</c:v>
                </c:pt>
                <c:pt idx="2">
                  <c:v>-20</c:v>
                </c:pt>
                <c:pt idx="3">
                  <c:v>-10</c:v>
                </c:pt>
                <c:pt idx="4">
                  <c:v>0</c:v>
                </c:pt>
                <c:pt idx="5">
                  <c:v>10</c:v>
                </c:pt>
                <c:pt idx="6">
                  <c:v>20</c:v>
                </c:pt>
                <c:pt idx="7">
                  <c:v>30</c:v>
                </c:pt>
                <c:pt idx="8">
                  <c:v>40</c:v>
                </c:pt>
                <c:pt idx="9">
                  <c:v>50</c:v>
                </c:pt>
                <c:pt idx="10">
                  <c:v>60</c:v>
                </c:pt>
                <c:pt idx="11">
                  <c:v>70</c:v>
                </c:pt>
                <c:pt idx="12">
                  <c:v>80</c:v>
                </c:pt>
                <c:pt idx="13">
                  <c:v>90</c:v>
                </c:pt>
                <c:pt idx="14">
                  <c:v>100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10-FC2B-435E-A9C7-50BF380CCB1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479457183"/>
        <c:axId val="1479455743"/>
      </c:scatterChart>
      <c:valAx>
        <c:axId val="1479457183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/>
              <a:lstStyle/>
              <a:p>
                <a:pPr>
                  <a:defRPr/>
                </a:pPr>
                <a:r>
                  <a:rPr lang="ja-JP" altLang="en-US" b="0">
                    <a:latin typeface="Meiryo UI" panose="020B0604030504040204" pitchFamily="50" charset="-128"/>
                    <a:ea typeface="Meiryo UI" panose="020B0604030504040204" pitchFamily="50" charset="-128"/>
                  </a:rPr>
                  <a:t>電圧</a:t>
                </a:r>
                <a:r>
                  <a:rPr lang="en-US" altLang="ja-JP" b="0">
                    <a:latin typeface="Meiryo UI" panose="020B0604030504040204" pitchFamily="50" charset="-128"/>
                    <a:ea typeface="Meiryo UI" panose="020B0604030504040204" pitchFamily="50" charset="-128"/>
                  </a:rPr>
                  <a:t>[V]</a:t>
                </a:r>
                <a:endParaRPr lang="ja-JP" altLang="en-US" b="0">
                  <a:latin typeface="Meiryo UI" panose="020B0604030504040204" pitchFamily="50" charset="-128"/>
                  <a:ea typeface="Meiryo UI" panose="020B0604030504040204" pitchFamily="50" charset="-128"/>
                </a:endParaRPr>
              </a:p>
            </c:rich>
          </c:tx>
          <c:overlay val="0"/>
        </c:title>
        <c:numFmt formatCode="#,##0.0_);[Red]\(#,##0.0\)" sourceLinked="0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ja-JP"/>
          </a:p>
        </c:txPr>
        <c:crossAx val="1479455743"/>
        <c:crossesAt val="-40"/>
        <c:crossBetween val="midCat"/>
      </c:valAx>
      <c:valAx>
        <c:axId val="1479455743"/>
        <c:scaling>
          <c:orientation val="minMax"/>
          <c:max val="100"/>
          <c:min val="-4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/>
              <a:lstStyle/>
              <a:p>
                <a:pPr>
                  <a:defRPr/>
                </a:pPr>
                <a:r>
                  <a:rPr lang="ja-JP" altLang="en-US" b="0">
                    <a:latin typeface="Meiryo UI" panose="020B0604030504040204" pitchFamily="50" charset="-128"/>
                    <a:ea typeface="Meiryo UI" panose="020B0604030504040204" pitchFamily="50" charset="-128"/>
                  </a:rPr>
                  <a:t>温度</a:t>
                </a:r>
                <a:r>
                  <a:rPr lang="en-US" altLang="ja-JP" b="0">
                    <a:latin typeface="Meiryo UI" panose="020B0604030504040204" pitchFamily="50" charset="-128"/>
                    <a:ea typeface="Meiryo UI" panose="020B0604030504040204" pitchFamily="50" charset="-128"/>
                  </a:rPr>
                  <a:t>[</a:t>
                </a:r>
                <a:r>
                  <a:rPr lang="ja-JP" altLang="en-US" b="0">
                    <a:latin typeface="Meiryo UI" panose="020B0604030504040204" pitchFamily="50" charset="-128"/>
                    <a:ea typeface="Meiryo UI" panose="020B0604030504040204" pitchFamily="50" charset="-128"/>
                  </a:rPr>
                  <a:t>℃</a:t>
                </a:r>
                <a:r>
                  <a:rPr lang="en-US" altLang="ja-JP" b="0">
                    <a:latin typeface="Meiryo UI" panose="020B0604030504040204" pitchFamily="50" charset="-128"/>
                    <a:ea typeface="Meiryo UI" panose="020B0604030504040204" pitchFamily="50" charset="-128"/>
                  </a:rPr>
                  <a:t>]</a:t>
                </a:r>
                <a:endParaRPr lang="ja-JP" altLang="en-US" b="0">
                  <a:latin typeface="Meiryo UI" panose="020B0604030504040204" pitchFamily="50" charset="-128"/>
                  <a:ea typeface="Meiryo UI" panose="020B0604030504040204" pitchFamily="50" charset="-128"/>
                </a:endParaRPr>
              </a:p>
            </c:rich>
          </c:tx>
          <c:overlay val="0"/>
        </c:title>
        <c:numFmt formatCode="#,##0_ " sourceLinked="0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ja-JP"/>
          </a:p>
        </c:txPr>
        <c:crossAx val="1479457183"/>
        <c:crosses val="autoZero"/>
        <c:crossBetween val="midCat"/>
      </c:valAx>
    </c:plotArea>
    <c:legend>
      <c:legendPos val="t"/>
      <c:layout>
        <c:manualLayout>
          <c:xMode val="edge"/>
          <c:yMode val="edge"/>
          <c:x val="0.12856933508311461"/>
          <c:y val="2.3148148148148147E-2"/>
          <c:w val="0.68175021872265962"/>
          <c:h val="0.1604899387576553"/>
        </c:manualLayout>
      </c:layout>
      <c:overlay val="0"/>
    </c:legend>
    <c:plotVisOnly val="1"/>
    <c:dispBlanksAs val="gap"/>
    <c:showDLblsOverMax val="0"/>
    <c:extLst/>
  </c:chart>
  <c:txPr>
    <a:bodyPr/>
    <a:lstStyle/>
    <a:p>
      <a:pPr>
        <a:defRPr/>
      </a:pPr>
      <a:endParaRPr lang="ja-JP"/>
    </a:p>
  </c:txPr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13</xdr:col>
      <xdr:colOff>204787</xdr:colOff>
      <xdr:row>7</xdr:row>
      <xdr:rowOff>123825</xdr:rowOff>
    </xdr:from>
    <xdr:to>
      <xdr:col>19</xdr:col>
      <xdr:colOff>661987</xdr:colOff>
      <xdr:row>19</xdr:row>
      <xdr:rowOff>9525</xdr:rowOff>
    </xdr:to>
    <xdr:graphicFrame macro="">
      <xdr:nvGraphicFramePr>
        <xdr:cNvPr id="2" name="グラフ 1">
          <a:extLst>
            <a:ext uri="{FF2B5EF4-FFF2-40B4-BE49-F238E27FC236}">
              <a16:creationId xmlns:a16="http://schemas.microsoft.com/office/drawing/2014/main" id="{DBB8540A-B87A-2E64-54C7-4DA3FB5D366E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1E95F25-D3AA-4362-9C12-5C45D72C77D4}">
  <dimension ref="B1:Q19"/>
  <sheetViews>
    <sheetView tabSelected="1" workbookViewId="0">
      <selection activeCell="F18" sqref="F18:F19"/>
    </sheetView>
  </sheetViews>
  <sheetFormatPr defaultRowHeight="18.75" x14ac:dyDescent="0.4"/>
  <cols>
    <col min="4" max="4" width="2.75" customWidth="1"/>
    <col min="6" max="6" width="10" bestFit="1" customWidth="1"/>
    <col min="7" max="7" width="2.125" customWidth="1"/>
    <col min="8" max="8" width="14.875" bestFit="1" customWidth="1"/>
    <col min="9" max="9" width="13.375" bestFit="1" customWidth="1"/>
    <col min="10" max="10" width="3.125" customWidth="1"/>
    <col min="11" max="11" width="14.875" bestFit="1" customWidth="1"/>
    <col min="12" max="12" width="14.75" bestFit="1" customWidth="1"/>
    <col min="13" max="13" width="0.625" customWidth="1"/>
  </cols>
  <sheetData>
    <row r="1" spans="2:17" x14ac:dyDescent="0.4">
      <c r="K1" t="s">
        <v>9</v>
      </c>
      <c r="L1">
        <v>20</v>
      </c>
    </row>
    <row r="2" spans="2:17" x14ac:dyDescent="0.4">
      <c r="H2" t="s">
        <v>7</v>
      </c>
      <c r="I2">
        <v>4.7</v>
      </c>
      <c r="K2" t="s">
        <v>7</v>
      </c>
      <c r="L2">
        <v>10</v>
      </c>
    </row>
    <row r="3" spans="2:17" x14ac:dyDescent="0.4">
      <c r="H3" t="s">
        <v>8</v>
      </c>
      <c r="I3">
        <v>3.3</v>
      </c>
      <c r="K3" t="s">
        <v>8</v>
      </c>
      <c r="L3">
        <v>3.3</v>
      </c>
    </row>
    <row r="4" spans="2:17" ht="15.75" customHeight="1" x14ac:dyDescent="0.4">
      <c r="B4" t="s">
        <v>5</v>
      </c>
      <c r="C4">
        <v>273.2</v>
      </c>
      <c r="E4" t="s">
        <v>6</v>
      </c>
      <c r="F4" t="s">
        <v>3</v>
      </c>
      <c r="H4" t="s">
        <v>6</v>
      </c>
      <c r="I4" t="s">
        <v>11</v>
      </c>
      <c r="K4" t="s">
        <v>6</v>
      </c>
      <c r="L4" t="s">
        <v>12</v>
      </c>
      <c r="M4" s="1" t="s">
        <v>10</v>
      </c>
      <c r="O4" t="s">
        <v>13</v>
      </c>
      <c r="P4" t="s">
        <v>6</v>
      </c>
      <c r="Q4" t="s">
        <v>14</v>
      </c>
    </row>
    <row r="5" spans="2:17" x14ac:dyDescent="0.4">
      <c r="B5" t="s">
        <v>0</v>
      </c>
      <c r="C5">
        <v>60</v>
      </c>
      <c r="E5">
        <v>-40</v>
      </c>
      <c r="F5" s="5">
        <f>$C$7*EXP($C$8*(1/($E5+$C$4)-1/($C$6+$C$4)))</f>
        <v>401.29306427324053</v>
      </c>
      <c r="H5">
        <f>E5</f>
        <v>-40</v>
      </c>
      <c r="I5" s="2">
        <f>$I$3*$F5/($F5+$I$2)</f>
        <v>3.2617973769385347</v>
      </c>
      <c r="K5">
        <f>H5</f>
        <v>-40</v>
      </c>
      <c r="L5" s="2">
        <f>$L$3*M5/(M5+$L$2)</f>
        <v>2.1640487392398366</v>
      </c>
      <c r="M5">
        <f>1/(1/$F5+1/$L$1)</f>
        <v>19.050542166674337</v>
      </c>
      <c r="O5" s="2">
        <f>0*I5*I5-41.891*I5+112.8</f>
        <v>-23.839953917332153</v>
      </c>
      <c r="P5">
        <f>K5</f>
        <v>-40</v>
      </c>
      <c r="Q5" s="2">
        <f>O5-P5</f>
        <v>16.160046082667847</v>
      </c>
    </row>
    <row r="6" spans="2:17" x14ac:dyDescent="0.4">
      <c r="B6" t="s">
        <v>1</v>
      </c>
      <c r="C6">
        <v>25</v>
      </c>
      <c r="E6">
        <v>-30</v>
      </c>
      <c r="F6" s="5">
        <f t="shared" ref="F6:F19" si="0">$C$7*EXP($C$8*(1/($E6+$C$4)-1/($C$6+$C$4)))</f>
        <v>199.98010387006809</v>
      </c>
      <c r="H6">
        <f t="shared" ref="H6:H19" si="1">E6</f>
        <v>-30</v>
      </c>
      <c r="I6" s="2">
        <f t="shared" ref="I6:I19" si="2">$I$3*$F6/($F6+$I$2)</f>
        <v>3.2242232160980051</v>
      </c>
      <c r="K6">
        <f t="shared" ref="K6:K19" si="3">H6</f>
        <v>-30</v>
      </c>
      <c r="L6" s="2">
        <f t="shared" ref="L6:L19" si="4">$L$3*M6/(M6+$L$2)</f>
        <v>2.129025425228896</v>
      </c>
      <c r="M6">
        <f t="shared" ref="M6:M19" si="5">1/(1/$F6+1/$L$1)</f>
        <v>18.181653736120332</v>
      </c>
      <c r="O6" s="2">
        <f t="shared" ref="O6:O19" si="6">0*I6*I6-41.891*I6+112.8</f>
        <v>-22.265934745561523</v>
      </c>
      <c r="P6">
        <f t="shared" ref="P6:P19" si="7">K6</f>
        <v>-30</v>
      </c>
      <c r="Q6" s="2">
        <f t="shared" ref="Q6:Q19" si="8">O6-P6</f>
        <v>7.7340652544384767</v>
      </c>
    </row>
    <row r="7" spans="2:17" x14ac:dyDescent="0.4">
      <c r="B7" t="s">
        <v>4</v>
      </c>
      <c r="C7">
        <v>10</v>
      </c>
      <c r="E7">
        <v>-20</v>
      </c>
      <c r="F7" s="5">
        <f t="shared" si="0"/>
        <v>105.29411408264104</v>
      </c>
      <c r="H7">
        <f t="shared" si="1"/>
        <v>-20</v>
      </c>
      <c r="I7" s="2">
        <f t="shared" si="2"/>
        <v>3.1589924549203876</v>
      </c>
      <c r="K7">
        <f t="shared" si="3"/>
        <v>-20</v>
      </c>
      <c r="L7" s="2">
        <f t="shared" si="4"/>
        <v>2.0690017471429845</v>
      </c>
      <c r="M7">
        <f t="shared" si="5"/>
        <v>16.807511646268001</v>
      </c>
      <c r="O7" s="2">
        <f t="shared" si="6"/>
        <v>-19.533352929069949</v>
      </c>
      <c r="P7">
        <f t="shared" si="7"/>
        <v>-20</v>
      </c>
      <c r="Q7" s="2">
        <f t="shared" si="8"/>
        <v>0.4666470709300512</v>
      </c>
    </row>
    <row r="8" spans="2:17" x14ac:dyDescent="0.4">
      <c r="B8" t="s">
        <v>2</v>
      </c>
      <c r="C8">
        <v>3950</v>
      </c>
      <c r="E8">
        <v>-10</v>
      </c>
      <c r="F8" s="4">
        <f t="shared" si="0"/>
        <v>58.209021385854356</v>
      </c>
      <c r="H8">
        <f t="shared" si="1"/>
        <v>-10</v>
      </c>
      <c r="I8" s="2">
        <f t="shared" si="2"/>
        <v>3.0534534847574726</v>
      </c>
      <c r="K8">
        <f t="shared" si="3"/>
        <v>-10</v>
      </c>
      <c r="L8" s="2">
        <f t="shared" si="4"/>
        <v>1.9739266109240634</v>
      </c>
      <c r="M8">
        <f t="shared" si="5"/>
        <v>14.885500509889413</v>
      </c>
      <c r="O8" s="2">
        <f t="shared" si="6"/>
        <v>-15.112219929975282</v>
      </c>
      <c r="P8">
        <f t="shared" si="7"/>
        <v>-10</v>
      </c>
      <c r="Q8" s="2">
        <f t="shared" si="8"/>
        <v>-5.1122199299752822</v>
      </c>
    </row>
    <row r="9" spans="2:17" x14ac:dyDescent="0.4">
      <c r="B9" t="s">
        <v>3</v>
      </c>
      <c r="C9">
        <f>C7*EXP(C8*(1/(C5+C4)-1/(C6+C4)))</f>
        <v>2.4872643749331553</v>
      </c>
      <c r="E9">
        <v>0</v>
      </c>
      <c r="F9" s="4">
        <f t="shared" si="0"/>
        <v>33.606311551562939</v>
      </c>
      <c r="H9">
        <f t="shared" si="1"/>
        <v>0</v>
      </c>
      <c r="I9" s="2">
        <f t="shared" si="2"/>
        <v>2.8951058879912654</v>
      </c>
      <c r="K9">
        <f t="shared" si="3"/>
        <v>0</v>
      </c>
      <c r="L9" s="2">
        <f t="shared" si="4"/>
        <v>1.8358186725801224</v>
      </c>
      <c r="M9">
        <f t="shared" si="5"/>
        <v>12.538192081817693</v>
      </c>
      <c r="O9" s="2">
        <f t="shared" si="6"/>
        <v>-8.4788807538421054</v>
      </c>
      <c r="P9">
        <f t="shared" si="7"/>
        <v>0</v>
      </c>
      <c r="Q9" s="2">
        <f t="shared" si="8"/>
        <v>-8.4788807538421054</v>
      </c>
    </row>
    <row r="10" spans="2:17" x14ac:dyDescent="0.4">
      <c r="E10">
        <v>10</v>
      </c>
      <c r="F10" s="4">
        <f t="shared" si="0"/>
        <v>20.169704031395689</v>
      </c>
      <c r="H10">
        <f t="shared" si="1"/>
        <v>10</v>
      </c>
      <c r="I10" s="2">
        <f t="shared" si="2"/>
        <v>2.676349634864168</v>
      </c>
      <c r="K10">
        <f t="shared" si="3"/>
        <v>10</v>
      </c>
      <c r="L10" s="2">
        <f t="shared" si="4"/>
        <v>1.6534780119233623</v>
      </c>
      <c r="M10">
        <f t="shared" si="5"/>
        <v>10.042246771662308</v>
      </c>
      <c r="O10" s="2">
        <f t="shared" si="6"/>
        <v>0.68503744590513804</v>
      </c>
      <c r="P10">
        <f t="shared" si="7"/>
        <v>10</v>
      </c>
      <c r="Q10" s="2">
        <f t="shared" si="8"/>
        <v>-9.314962554094862</v>
      </c>
    </row>
    <row r="11" spans="2:17" x14ac:dyDescent="0.4">
      <c r="E11">
        <v>20</v>
      </c>
      <c r="F11" s="4">
        <f t="shared" si="0"/>
        <v>12.534367947405801</v>
      </c>
      <c r="H11">
        <f t="shared" si="1"/>
        <v>20</v>
      </c>
      <c r="I11" s="2">
        <f t="shared" si="2"/>
        <v>2.4000540288258936</v>
      </c>
      <c r="K11">
        <f t="shared" si="3"/>
        <v>20</v>
      </c>
      <c r="L11" s="2">
        <f t="shared" si="4"/>
        <v>1.4361522719240636</v>
      </c>
      <c r="M11">
        <f t="shared" si="5"/>
        <v>7.7053090243944675</v>
      </c>
      <c r="O11" s="2">
        <f t="shared" si="6"/>
        <v>12.259336678454488</v>
      </c>
      <c r="P11">
        <f t="shared" si="7"/>
        <v>20</v>
      </c>
      <c r="Q11" s="2">
        <f t="shared" si="8"/>
        <v>-7.7406633215455116</v>
      </c>
    </row>
    <row r="12" spans="2:17" x14ac:dyDescent="0.4">
      <c r="E12">
        <v>30</v>
      </c>
      <c r="F12" s="3">
        <f t="shared" si="0"/>
        <v>8.0377247403607814</v>
      </c>
      <c r="H12">
        <f t="shared" si="1"/>
        <v>30</v>
      </c>
      <c r="I12" s="2">
        <f t="shared" si="2"/>
        <v>2.0823571072426312</v>
      </c>
      <c r="K12">
        <f t="shared" si="3"/>
        <v>30</v>
      </c>
      <c r="L12" s="2">
        <f t="shared" si="4"/>
        <v>1.2025655424503152</v>
      </c>
      <c r="M12">
        <f t="shared" si="5"/>
        <v>5.7335071335444994</v>
      </c>
      <c r="O12" s="2">
        <f t="shared" si="6"/>
        <v>25.567978420498932</v>
      </c>
      <c r="P12">
        <f t="shared" si="7"/>
        <v>30</v>
      </c>
      <c r="Q12" s="2">
        <f t="shared" si="8"/>
        <v>-4.4320215795010682</v>
      </c>
    </row>
    <row r="13" spans="2:17" x14ac:dyDescent="0.4">
      <c r="E13">
        <v>40</v>
      </c>
      <c r="F13" s="3">
        <f t="shared" si="0"/>
        <v>5.3025680761530776</v>
      </c>
      <c r="H13">
        <f t="shared" si="1"/>
        <v>40</v>
      </c>
      <c r="I13" s="2">
        <f t="shared" si="2"/>
        <v>1.7493982063489193</v>
      </c>
      <c r="K13">
        <f t="shared" si="3"/>
        <v>40</v>
      </c>
      <c r="L13" s="2">
        <f t="shared" si="4"/>
        <v>0.97463622513836201</v>
      </c>
      <c r="M13">
        <f t="shared" si="5"/>
        <v>4.1913279791948002</v>
      </c>
      <c r="O13" s="2">
        <f t="shared" si="6"/>
        <v>39.51595973783742</v>
      </c>
      <c r="P13">
        <f t="shared" si="7"/>
        <v>40</v>
      </c>
      <c r="Q13" s="2">
        <f t="shared" si="8"/>
        <v>-0.48404026216257989</v>
      </c>
    </row>
    <row r="14" spans="2:17" x14ac:dyDescent="0.4">
      <c r="E14">
        <v>50</v>
      </c>
      <c r="F14" s="3">
        <f t="shared" si="0"/>
        <v>3.589368273479145</v>
      </c>
      <c r="H14">
        <f t="shared" si="1"/>
        <v>50</v>
      </c>
      <c r="I14" s="2">
        <f t="shared" si="2"/>
        <v>1.4289285880056248</v>
      </c>
      <c r="K14">
        <f t="shared" si="3"/>
        <v>50</v>
      </c>
      <c r="L14" s="2">
        <f t="shared" si="4"/>
        <v>0.76994766961488637</v>
      </c>
      <c r="M14">
        <f t="shared" si="5"/>
        <v>3.0432084758408471</v>
      </c>
      <c r="O14" s="2">
        <f t="shared" si="6"/>
        <v>52.940752519856368</v>
      </c>
      <c r="P14">
        <f t="shared" si="7"/>
        <v>50</v>
      </c>
      <c r="Q14" s="2">
        <f t="shared" si="8"/>
        <v>2.9407525198563675</v>
      </c>
    </row>
    <row r="15" spans="2:17" x14ac:dyDescent="0.4">
      <c r="E15">
        <v>60</v>
      </c>
      <c r="F15" s="3">
        <f t="shared" si="0"/>
        <v>2.4872643749331553</v>
      </c>
      <c r="H15">
        <f t="shared" si="1"/>
        <v>60</v>
      </c>
      <c r="I15" s="2">
        <f t="shared" si="2"/>
        <v>1.1420162121635813</v>
      </c>
      <c r="K15">
        <f t="shared" si="3"/>
        <v>60</v>
      </c>
      <c r="L15" s="2">
        <f t="shared" si="4"/>
        <v>0.59777396180784526</v>
      </c>
      <c r="M15">
        <f t="shared" si="5"/>
        <v>2.2121538071173665</v>
      </c>
      <c r="O15" s="2">
        <f t="shared" si="6"/>
        <v>64.959798856255418</v>
      </c>
      <c r="P15">
        <f t="shared" si="7"/>
        <v>60</v>
      </c>
      <c r="Q15" s="2">
        <f t="shared" si="8"/>
        <v>4.9597988562554178</v>
      </c>
    </row>
    <row r="16" spans="2:17" x14ac:dyDescent="0.4">
      <c r="E16">
        <v>70</v>
      </c>
      <c r="F16" s="3">
        <f t="shared" si="0"/>
        <v>1.7607952867924297</v>
      </c>
      <c r="H16">
        <f t="shared" si="1"/>
        <v>70</v>
      </c>
      <c r="I16" s="2">
        <f t="shared" si="2"/>
        <v>0.89936674797504679</v>
      </c>
      <c r="K16">
        <f t="shared" si="3"/>
        <v>70</v>
      </c>
      <c r="L16" s="2">
        <f t="shared" si="4"/>
        <v>0.45965791982642462</v>
      </c>
      <c r="M16">
        <f t="shared" si="5"/>
        <v>1.6183188744587222</v>
      </c>
      <c r="O16" s="2">
        <f t="shared" si="6"/>
        <v>75.124627560577323</v>
      </c>
      <c r="P16">
        <f t="shared" si="7"/>
        <v>70</v>
      </c>
      <c r="Q16" s="2">
        <f t="shared" si="8"/>
        <v>5.1246275605773235</v>
      </c>
    </row>
    <row r="17" spans="5:17" x14ac:dyDescent="0.4">
      <c r="E17">
        <v>80</v>
      </c>
      <c r="F17" s="3">
        <f t="shared" si="0"/>
        <v>1.2711309599312259</v>
      </c>
      <c r="H17">
        <f t="shared" si="1"/>
        <v>80</v>
      </c>
      <c r="I17" s="2">
        <f t="shared" si="2"/>
        <v>0.70250212161170866</v>
      </c>
      <c r="K17">
        <f t="shared" si="3"/>
        <v>80</v>
      </c>
      <c r="L17" s="2">
        <f t="shared" si="4"/>
        <v>0.35230025296667333</v>
      </c>
      <c r="M17">
        <f t="shared" si="5"/>
        <v>1.1951700756538766</v>
      </c>
      <c r="O17" s="2">
        <f t="shared" si="6"/>
        <v>83.371483623563904</v>
      </c>
      <c r="P17">
        <f t="shared" si="7"/>
        <v>80</v>
      </c>
      <c r="Q17" s="2">
        <f t="shared" si="8"/>
        <v>3.3714836235639041</v>
      </c>
    </row>
    <row r="18" spans="5:17" x14ac:dyDescent="0.4">
      <c r="E18">
        <v>90</v>
      </c>
      <c r="F18" s="2">
        <f t="shared" si="0"/>
        <v>0.93425321062091993</v>
      </c>
      <c r="H18">
        <f t="shared" si="1"/>
        <v>90</v>
      </c>
      <c r="I18" s="2">
        <f t="shared" si="2"/>
        <v>0.54719507267392964</v>
      </c>
      <c r="K18">
        <f t="shared" si="3"/>
        <v>90</v>
      </c>
      <c r="L18" s="2">
        <f t="shared" si="4"/>
        <v>0.2704089895102913</v>
      </c>
      <c r="M18">
        <f t="shared" si="5"/>
        <v>0.89255938697343151</v>
      </c>
      <c r="O18" s="2">
        <f t="shared" si="6"/>
        <v>89.877451210616414</v>
      </c>
      <c r="P18">
        <f t="shared" si="7"/>
        <v>90</v>
      </c>
      <c r="Q18" s="2">
        <f t="shared" si="8"/>
        <v>-0.12254878938358615</v>
      </c>
    </row>
    <row r="19" spans="5:17" x14ac:dyDescent="0.4">
      <c r="E19">
        <v>100</v>
      </c>
      <c r="F19" s="2">
        <f t="shared" si="0"/>
        <v>0.69808022800793734</v>
      </c>
      <c r="H19">
        <f t="shared" si="1"/>
        <v>100</v>
      </c>
      <c r="I19" s="2">
        <f t="shared" si="2"/>
        <v>0.42675630133721054</v>
      </c>
      <c r="K19">
        <f t="shared" si="3"/>
        <v>100</v>
      </c>
      <c r="L19" s="2">
        <f t="shared" si="4"/>
        <v>0.20853079183589743</v>
      </c>
      <c r="M19">
        <f t="shared" si="5"/>
        <v>0.67453620849659179</v>
      </c>
      <c r="O19" s="2">
        <f t="shared" si="6"/>
        <v>94.922751780682916</v>
      </c>
      <c r="P19">
        <f t="shared" si="7"/>
        <v>100</v>
      </c>
      <c r="Q19" s="2">
        <f t="shared" si="8"/>
        <v>-5.0772482193170845</v>
      </c>
    </row>
  </sheetData>
  <phoneticPr fontId="1"/>
  <pageMargins left="0.7" right="0.7" top="0.75" bottom="0.75" header="0.3" footer="0.3"/>
  <pageSetup paperSize="9"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輝 清水</dc:creator>
  <cp:lastModifiedBy>輝 清水</cp:lastModifiedBy>
  <dcterms:created xsi:type="dcterms:W3CDTF">2024-08-17T09:01:51Z</dcterms:created>
  <dcterms:modified xsi:type="dcterms:W3CDTF">2024-08-17T14:54:10Z</dcterms:modified>
</cp:coreProperties>
</file>